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RIDA" sheetId="1" r:id="rId4"/>
    <sheet state="visible" name="PRÊMIOS" sheetId="2" r:id="rId5"/>
    <sheet state="visible" name="COMO USAR" sheetId="3" r:id="rId6"/>
  </sheets>
  <definedNames/>
  <calcPr/>
  <extLst>
    <ext uri="GoogleSheetsCustomDataVersion2">
      <go:sheetsCustomData xmlns:go="http://customooxmlschemas.google.com/" r:id="rId7" roundtripDataChecksum="PWxEfxL93rws4i3+9DlxPVup4x0ZPtyvMjcN9DmdOPI="/>
    </ext>
  </extLst>
</workbook>
</file>

<file path=xl/sharedStrings.xml><?xml version="1.0" encoding="utf-8"?>
<sst xmlns="http://schemas.openxmlformats.org/spreadsheetml/2006/main" count="66" uniqueCount="61">
  <si>
    <t>PRÊMIOS DA CORRIDA — edite os valores por grupo (azul)</t>
  </si>
  <si>
    <t>CORRIDA DOS CAMPEÕES — GEREMIAS  ·  apuração por VALOR DE VENDA</t>
  </si>
  <si>
    <t>Período (trimestre):</t>
  </si>
  <si>
    <t>Colocação</t>
  </si>
  <si>
    <t>01/08/2026 a 30/10/2026</t>
  </si>
  <si>
    <t>Forthiben / Ativesse + Herbamed</t>
  </si>
  <si>
    <t>Botica + Amend + Dahuer</t>
  </si>
  <si>
    <t>Similar + Genérico</t>
  </si>
  <si>
    <t>Linha Própria Geremias</t>
  </si>
  <si>
    <t>Nutra X + Macrophytus</t>
  </si>
  <si>
    <t>1º</t>
  </si>
  <si>
    <t>Digite o VALOR vendido (R$) de cada funcionário por grupo no trimestre. A planilha ranqueia e paga automaticamente os 5 primeiros de cada grupo. Valores = EXEMPLO, substitua.</t>
  </si>
  <si>
    <t>2º</t>
  </si>
  <si>
    <t>3º</t>
  </si>
  <si>
    <t>COMO USAR — CORRIDA DOS CAMPEÕES</t>
  </si>
  <si>
    <t>VALOR DE VENDA NO TRIMESTRE (R$)</t>
  </si>
  <si>
    <t>4º</t>
  </si>
  <si>
    <t>5º</t>
  </si>
  <si>
    <t>Prêmio total do grupo</t>
  </si>
  <si>
    <t>PRÊMIO (R$)</t>
  </si>
  <si>
    <t>1.</t>
  </si>
  <si>
    <t>Funcionário</t>
  </si>
  <si>
    <t>Forthiben+Herbamed</t>
  </si>
  <si>
    <t>É trimestral e vale para a rede toda (todas as filiais competindo juntas). Liste na aba CORRIDA todos os funcionários que participam, um por linha.</t>
  </si>
  <si>
    <t>2.</t>
  </si>
  <si>
    <t>Para cada funcionário, digite o VALOR de venda (R$) no trimestre em cada grupo de produtos (células amarelas). Deixe em branco ou zero quem não vendeu naquele grupo.</t>
  </si>
  <si>
    <t>3.</t>
  </si>
  <si>
    <t>A planilha ranqueia sozinha e paga automaticamente os 5 primeiros de cada grupo. A coluna TOTAL soma quanto cada funcionário levou; TOTAL GERAL é o custo do trimestre.</t>
  </si>
  <si>
    <t>4.</t>
  </si>
  <si>
    <t>Os valores dos prêmios de cada colocação (1º a 5º) ficam na aba PRÊMIOS e variam por grupo — edite ali. Os grupos e os prêmios do print já vêm preenchidos; confira se batem.</t>
  </si>
  <si>
    <t>5.</t>
  </si>
  <si>
    <t>Empates: se dois funcionários empatam no mesmo valor, ambos recebem a mesma colocação e a seguinte é pulada. Em caso de empate na zona de prêmio, defina o desempate manualmente.</t>
  </si>
  <si>
    <t>6.</t>
  </si>
  <si>
    <t>Esta planilha é separada da comissão mensal 360 de propósito: cadência, regras e premiação são diferentes.</t>
  </si>
  <si>
    <t>Botica+Dahuer+Amend</t>
  </si>
  <si>
    <t>Similar/Gen</t>
  </si>
  <si>
    <t>Linha Própria</t>
  </si>
  <si>
    <t>Ntax+Macrophytus</t>
  </si>
  <si>
    <t>TOTAL (R$)</t>
  </si>
  <si>
    <t>BRUNA MUELER</t>
  </si>
  <si>
    <t>CAMILE BATISTA</t>
  </si>
  <si>
    <t>DAIANE BORGES</t>
  </si>
  <si>
    <t>ELBERT BARAUNA</t>
  </si>
  <si>
    <t>ELIANE WITTI</t>
  </si>
  <si>
    <t>EMANUELE DA SILVA</t>
  </si>
  <si>
    <t>FELIPE ANDRADE</t>
  </si>
  <si>
    <t>FRANCIELE DA ROSA</t>
  </si>
  <si>
    <t>GABRIELE BEE</t>
  </si>
  <si>
    <t>GERUSA DA COSTA</t>
  </si>
  <si>
    <t>GIULIO POMPEO</t>
  </si>
  <si>
    <t>JESSICA PIOVESAN</t>
  </si>
  <si>
    <t>KATIANE MUNARI</t>
  </si>
  <si>
    <t>LARISSA ROMANATTO</t>
  </si>
  <si>
    <t>MARINARA DIAS</t>
  </si>
  <si>
    <t>SAMARA SGARIA</t>
  </si>
  <si>
    <t>THALIA VALERIO</t>
  </si>
  <si>
    <t>THALUANI SANTOS</t>
  </si>
  <si>
    <t>TIAGO RUDECK</t>
  </si>
  <si>
    <t>TIAGO LONGO PEREIRA</t>
  </si>
  <si>
    <t>VANESSA TONETTA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</si>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</sst>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$ &quot;#,##0"/>
    <numFmt numFmtId="165" formatCode="&quot;R$ &quot;#,##0.00"/>
  </numFmts>
  <fonts count="12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0.0"/>
      <color theme="1"/>
      <name val="Arial"/>
    </font>
    <font>
      <b/>
      <sz val="9.0"/>
      <color theme="1"/>
      <name val="Arial"/>
    </font>
    <font>
      <sz val="10.0"/>
      <color rgb="FF0000FF"/>
      <name val="Arial"/>
    </font>
    <font>
      <i/>
      <sz val="9.0"/>
      <color rgb="FF555555"/>
      <name val="Arial"/>
    </font>
    <font>
      <sz val="11.0"/>
      <color theme="1"/>
      <name val="Calibri"/>
    </font>
    <font>
      <b/>
      <sz val="10.0"/>
      <color rgb="FFFFFFFF"/>
      <name val="Arial"/>
    </font>
    <font>
      <b/>
      <sz val="10.0"/>
      <color theme="1"/>
      <name val="Arial"/>
    </font>
    <font>
      <b/>
      <sz val="10.0"/>
      <color rgb="FF006100"/>
      <name val="Arial"/>
    </font>
    <font>
      <b/>
      <sz val="10.0"/>
      <color rgb="FF9C0006"/>
      <name val="Arial"/>
    </font>
  </fonts>
  <fills count="8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EDE0F2"/>
        <bgColor rgb="FFEDE0F2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C55A11"/>
        <bgColor rgb="FFC55A11"/>
      </patternFill>
    </fill>
    <fill>
      <patternFill patternType="solid">
        <fgColor rgb="FFFCE4D6"/>
        <bgColor rgb="FFFCE4D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3" fontId="4" numFmtId="0" xfId="0" applyAlignment="1" applyBorder="1" applyFill="1" applyFont="1">
      <alignment horizontal="center" shrinkToFit="0" vertical="center" wrapText="0"/>
    </xf>
    <xf borderId="1" fillId="4" fontId="5" numFmtId="0" xfId="0" applyAlignment="1" applyBorder="1" applyFill="1" applyFont="1">
      <alignment readingOrder="0" shrinkToFit="0" vertical="bottom" wrapText="0"/>
    </xf>
    <xf borderId="4" fillId="0" fontId="3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left" shrinkToFit="0" vertical="center" wrapText="1"/>
    </xf>
    <xf borderId="4" fillId="0" fontId="5" numFmtId="164" xfId="0" applyAlignment="1" applyBorder="1" applyFont="1" applyNumberFormat="1">
      <alignment horizontal="center" shrinkToFit="0" vertical="center" wrapText="0"/>
    </xf>
    <xf borderId="5" fillId="3" fontId="7" numFmtId="0" xfId="0" applyAlignment="1" applyBorder="1" applyFont="1">
      <alignment shrinkToFit="0" vertical="bottom" wrapText="0"/>
    </xf>
    <xf borderId="1" fillId="5" fontId="8" numFmtId="0" xfId="0" applyAlignment="1" applyBorder="1" applyFill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1" fillId="6" fontId="8" numFmtId="0" xfId="0" applyAlignment="1" applyBorder="1" applyFill="1" applyFont="1">
      <alignment horizontal="center" shrinkToFit="0" vertical="center" wrapText="0"/>
    </xf>
    <xf borderId="0" fillId="0" fontId="9" numFmtId="0" xfId="0" applyAlignment="1" applyFont="1">
      <alignment shrinkToFit="0" vertical="top" wrapText="0"/>
    </xf>
    <xf borderId="0" fillId="0" fontId="3" numFmtId="0" xfId="0" applyAlignment="1" applyFont="1">
      <alignment horizontal="left" shrinkToFit="0" vertical="center" wrapText="1"/>
    </xf>
    <xf borderId="4" fillId="0" fontId="3" numFmtId="164" xfId="0" applyAlignment="1" applyBorder="1" applyFont="1" applyNumberFormat="1">
      <alignment horizontal="center" shrinkToFit="0" vertical="center" wrapText="0"/>
    </xf>
    <xf borderId="4" fillId="3" fontId="4" numFmtId="0" xfId="0" applyAlignment="1" applyBorder="1" applyFont="1">
      <alignment horizontal="center" readingOrder="0" shrinkToFit="0" vertical="center" wrapText="0"/>
    </xf>
    <xf borderId="4" fillId="7" fontId="4" numFmtId="0" xfId="0" applyAlignment="1" applyBorder="1" applyFill="1" applyFont="1">
      <alignment horizontal="center" readingOrder="0" shrinkToFit="0" vertical="center" wrapText="0"/>
    </xf>
    <xf borderId="4" fillId="7" fontId="4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readingOrder="0" shrinkToFit="0" vertical="bottom" wrapText="0"/>
    </xf>
    <xf borderId="4" fillId="4" fontId="5" numFmtId="164" xfId="0" applyAlignment="1" applyBorder="1" applyFont="1" applyNumberFormat="1">
      <alignment shrinkToFit="0" vertical="bottom" wrapText="0"/>
    </xf>
    <xf borderId="4" fillId="0" fontId="10" numFmtId="164" xfId="0" applyAlignment="1" applyBorder="1" applyFont="1" applyNumberFormat="1">
      <alignment horizontal="center" shrinkToFit="0" vertical="center" wrapText="0"/>
    </xf>
    <xf borderId="4" fillId="0" fontId="10" numFmtId="165" xfId="0" applyAlignment="1" applyBorder="1" applyFont="1" applyNumberFormat="1">
      <alignment shrinkToFit="0" vertical="bottom" wrapText="0"/>
    </xf>
    <xf borderId="4" fillId="4" fontId="11" numFmtId="0" xfId="0" applyAlignment="1" applyBorder="1" applyFont="1">
      <alignment shrinkToFit="0" vertical="bottom" wrapText="0"/>
    </xf>
    <xf borderId="4" fillId="4" fontId="7" numFmtId="0" xfId="0" applyAlignment="1" applyBorder="1" applyFont="1">
      <alignment shrinkToFit="0" vertical="bottom" wrapText="0"/>
    </xf>
    <xf borderId="4" fillId="4" fontId="11" numFmtId="164" xfId="0" applyAlignment="1" applyBorder="1" applyFont="1" applyNumberFormat="1">
      <alignment horizontal="center" shrinkToFit="0" vertical="center" wrapText="0"/>
    </xf>
    <xf borderId="4" fillId="4" fontId="11" numFmtId="165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2.86"/>
    <col customWidth="1" min="2" max="2" width="20.0"/>
    <col customWidth="1" min="3" max="3" width="20.14"/>
    <col customWidth="1" min="4" max="5" width="13.0"/>
    <col customWidth="1" min="6" max="6" width="17.43"/>
    <col customWidth="1" min="7" max="11" width="13.0"/>
    <col customWidth="1" min="12" max="12" width="15.0"/>
    <col customWidth="1" min="13" max="26" width="8.71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2</v>
      </c>
      <c r="B2" s="6" t="s">
        <v>4</v>
      </c>
      <c r="C2" s="2"/>
      <c r="D2" s="3"/>
    </row>
    <row r="3" ht="15.0" customHeight="1">
      <c r="A3" s="8" t="s">
        <v>11</v>
      </c>
    </row>
    <row r="4">
      <c r="A4" s="10"/>
      <c r="B4" s="11" t="s">
        <v>15</v>
      </c>
      <c r="C4" s="2"/>
      <c r="D4" s="2"/>
      <c r="E4" s="2"/>
      <c r="F4" s="3"/>
      <c r="G4" s="13" t="s">
        <v>19</v>
      </c>
      <c r="H4" s="2"/>
      <c r="I4" s="2"/>
      <c r="J4" s="2"/>
      <c r="K4" s="3"/>
      <c r="L4" s="10"/>
    </row>
    <row r="5">
      <c r="A5" s="5" t="s">
        <v>21</v>
      </c>
      <c r="B5" s="17" t="s">
        <v>22</v>
      </c>
      <c r="C5" s="17" t="s">
        <v>34</v>
      </c>
      <c r="D5" s="5" t="s">
        <v>35</v>
      </c>
      <c r="E5" s="5" t="s">
        <v>36</v>
      </c>
      <c r="F5" s="17" t="s">
        <v>37</v>
      </c>
      <c r="G5" s="18" t="s">
        <v>22</v>
      </c>
      <c r="H5" s="18" t="s">
        <v>34</v>
      </c>
      <c r="I5" s="19" t="s">
        <v>35</v>
      </c>
      <c r="J5" s="19" t="s">
        <v>36</v>
      </c>
      <c r="K5" s="18" t="s">
        <v>37</v>
      </c>
      <c r="L5" s="5" t="s">
        <v>38</v>
      </c>
    </row>
    <row r="6">
      <c r="A6" s="20" t="s">
        <v>39</v>
      </c>
      <c r="B6" s="21"/>
      <c r="C6" s="21"/>
      <c r="D6" s="21"/>
      <c r="E6" s="21"/>
      <c r="F6" s="21"/>
      <c r="G6" s="22">
        <f t="array" ref="G6">IFERROR(IF(B6&lt;=0,0,IF(RANK(B6,B$6:B$25,0)&lt;=5,INDEX('PRÊMIOS'!$B$3:$B$7,RANK(B6,B$6:B$25,0)),0)),0)</f>
        <v>0</v>
      </c>
      <c r="H6" s="22">
        <f t="array" ref="H6">IFERROR(IF(C6&lt;=0,0,IF(RANK(C6,C$6:C$25,0)&lt;=5,INDEX('PRÊMIOS'!$C$3:$C$7,RANK(C6,C$6:C$25,0)),0)),0)</f>
        <v>0</v>
      </c>
      <c r="I6" s="22">
        <f t="array" ref="I6">IFERROR(IF(D6&lt;=0,0,IF(RANK(D6,D$6:D$25,0)&lt;=5,INDEX('PRÊMIOS'!$D$3:$D$7,RANK(D6,D$6:D$25,0)),0)),0)</f>
        <v>0</v>
      </c>
      <c r="J6" s="22">
        <f t="array" ref="J6">IFERROR(IF(E6&lt;=0,0,IF(RANK(E6,E$6:E$25,0)&lt;=5,INDEX('PRÊMIOS'!$E$3:$E$7,RANK(E6,E$6:E$25,0)),0)),0)</f>
        <v>0</v>
      </c>
      <c r="K6" s="22">
        <f t="array" ref="K6">IFERROR(IF(F6&lt;=0,0,IF(RANK(F6,F$6:F$25,0)&lt;=5,INDEX('PRÊMIOS'!$F$3:$F$7,RANK(F6,F$6:F$25,0)),0)),0)</f>
        <v>0</v>
      </c>
      <c r="L6" s="23">
        <f t="shared" ref="L6:L26" si="1">SUM(G6:K6)</f>
        <v>0</v>
      </c>
    </row>
    <row r="7">
      <c r="A7" s="20" t="s">
        <v>40</v>
      </c>
      <c r="B7" s="21"/>
      <c r="C7" s="21"/>
      <c r="D7" s="21"/>
      <c r="E7" s="21"/>
      <c r="F7" s="21"/>
      <c r="G7" s="22">
        <f t="array" ref="G7">IFERROR(IF(B7&lt;=0,0,IF(RANK(B7,B$6:B$25,0)&lt;=5,INDEX('PRÊMIOS'!$B$3:$B$7,RANK(B7,B$6:B$25,0)),0)),0)</f>
        <v>0</v>
      </c>
      <c r="H7" s="22">
        <f t="array" ref="H7">IFERROR(IF(C7&lt;=0,0,IF(RANK(C7,C$6:C$25,0)&lt;=5,INDEX('PRÊMIOS'!$C$3:$C$7,RANK(C7,C$6:C$25,0)),0)),0)</f>
        <v>0</v>
      </c>
      <c r="I7" s="22">
        <f t="array" ref="I7">IFERROR(IF(D7&lt;=0,0,IF(RANK(D7,D$6:D$25,0)&lt;=5,INDEX('PRÊMIOS'!$D$3:$D$7,RANK(D7,D$6:D$25,0)),0)),0)</f>
        <v>0</v>
      </c>
      <c r="J7" s="22">
        <f t="array" ref="J7">IFERROR(IF(E7&lt;=0,0,IF(RANK(E7,E$6:E$25,0)&lt;=5,INDEX('PRÊMIOS'!$E$3:$E$7,RANK(E7,E$6:E$25,0)),0)),0)</f>
        <v>0</v>
      </c>
      <c r="K7" s="22">
        <f t="array" ref="K7">IFERROR(IF(F7&lt;=0,0,IF(RANK(F7,F$6:F$25,0)&lt;=5,INDEX('PRÊMIOS'!$F$3:$F$7,RANK(F7,F$6:F$25,0)),0)),0)</f>
        <v>0</v>
      </c>
      <c r="L7" s="23">
        <f t="shared" si="1"/>
        <v>0</v>
      </c>
    </row>
    <row r="8">
      <c r="A8" s="20" t="s">
        <v>41</v>
      </c>
      <c r="B8" s="21"/>
      <c r="C8" s="21"/>
      <c r="D8" s="21"/>
      <c r="E8" s="21"/>
      <c r="F8" s="21"/>
      <c r="G8" s="22">
        <f t="array" ref="G8">IFERROR(IF(B8&lt;=0,0,IF(RANK(B8,B$6:B$25,0)&lt;=5,INDEX('PRÊMIOS'!$B$3:$B$7,RANK(B8,B$6:B$25,0)),0)),0)</f>
        <v>0</v>
      </c>
      <c r="H8" s="22">
        <f t="array" ref="H8">IFERROR(IF(C8&lt;=0,0,IF(RANK(C8,C$6:C$25,0)&lt;=5,INDEX('PRÊMIOS'!$C$3:$C$7,RANK(C8,C$6:C$25,0)),0)),0)</f>
        <v>0</v>
      </c>
      <c r="I8" s="22">
        <f t="array" ref="I8">IFERROR(IF(D8&lt;=0,0,IF(RANK(D8,D$6:D$25,0)&lt;=5,INDEX('PRÊMIOS'!$D$3:$D$7,RANK(D8,D$6:D$25,0)),0)),0)</f>
        <v>0</v>
      </c>
      <c r="J8" s="22">
        <f t="array" ref="J8">IFERROR(IF(E8&lt;=0,0,IF(RANK(E8,E$6:E$25,0)&lt;=5,INDEX('PRÊMIOS'!$E$3:$E$7,RANK(E8,E$6:E$25,0)),0)),0)</f>
        <v>0</v>
      </c>
      <c r="K8" s="22">
        <f t="array" ref="K8">IFERROR(IF(F8&lt;=0,0,IF(RANK(F8,F$6:F$25,0)&lt;=5,INDEX('PRÊMIOS'!$F$3:$F$7,RANK(F8,F$6:F$25,0)),0)),0)</f>
        <v>0</v>
      </c>
      <c r="L8" s="23">
        <f t="shared" si="1"/>
        <v>0</v>
      </c>
    </row>
    <row r="9">
      <c r="A9" s="20" t="s">
        <v>42</v>
      </c>
      <c r="B9" s="21"/>
      <c r="C9" s="21"/>
      <c r="D9" s="21"/>
      <c r="E9" s="21"/>
      <c r="F9" s="21"/>
      <c r="G9" s="22">
        <f t="array" ref="G9">IFERROR(IF(B9&lt;=0,0,IF(RANK(B9,B$6:B$25,0)&lt;=5,INDEX('PRÊMIOS'!$B$3:$B$7,RANK(B9,B$6:B$25,0)),0)),0)</f>
        <v>0</v>
      </c>
      <c r="H9" s="22">
        <f t="array" ref="H9">IFERROR(IF(C9&lt;=0,0,IF(RANK(C9,C$6:C$25,0)&lt;=5,INDEX('PRÊMIOS'!$C$3:$C$7,RANK(C9,C$6:C$25,0)),0)),0)</f>
        <v>0</v>
      </c>
      <c r="I9" s="22">
        <f t="array" ref="I9">IFERROR(IF(D9&lt;=0,0,IF(RANK(D9,D$6:D$25,0)&lt;=5,INDEX('PRÊMIOS'!$D$3:$D$7,RANK(D9,D$6:D$25,0)),0)),0)</f>
        <v>0</v>
      </c>
      <c r="J9" s="22">
        <f t="array" ref="J9">IFERROR(IF(E9&lt;=0,0,IF(RANK(E9,E$6:E$25,0)&lt;=5,INDEX('PRÊMIOS'!$E$3:$E$7,RANK(E9,E$6:E$25,0)),0)),0)</f>
        <v>0</v>
      </c>
      <c r="K9" s="22">
        <f t="array" ref="K9">IFERROR(IF(F9&lt;=0,0,IF(RANK(F9,F$6:F$25,0)&lt;=5,INDEX('PRÊMIOS'!$F$3:$F$7,RANK(F9,F$6:F$25,0)),0)),0)</f>
        <v>0</v>
      </c>
      <c r="L9" s="23">
        <f t="shared" si="1"/>
        <v>0</v>
      </c>
    </row>
    <row r="10">
      <c r="A10" s="20" t="s">
        <v>43</v>
      </c>
      <c r="B10" s="21"/>
      <c r="C10" s="21"/>
      <c r="D10" s="21"/>
      <c r="E10" s="21"/>
      <c r="F10" s="21"/>
      <c r="G10" s="22">
        <f t="array" ref="G10">IFERROR(IF(B10&lt;=0,0,IF(RANK(B10,B$6:B$25,0)&lt;=5,INDEX('PRÊMIOS'!$B$3:$B$7,RANK(B10,B$6:B$25,0)),0)),0)</f>
        <v>0</v>
      </c>
      <c r="H10" s="22">
        <f t="array" ref="H10">IFERROR(IF(C10&lt;=0,0,IF(RANK(C10,C$6:C$25,0)&lt;=5,INDEX('PRÊMIOS'!$C$3:$C$7,RANK(C10,C$6:C$25,0)),0)),0)</f>
        <v>0</v>
      </c>
      <c r="I10" s="22">
        <f t="array" ref="I10">IFERROR(IF(D10&lt;=0,0,IF(RANK(D10,D$6:D$25,0)&lt;=5,INDEX('PRÊMIOS'!$D$3:$D$7,RANK(D10,D$6:D$25,0)),0)),0)</f>
        <v>0</v>
      </c>
      <c r="J10" s="22">
        <f t="array" ref="J10">IFERROR(IF(E10&lt;=0,0,IF(RANK(E10,E$6:E$25,0)&lt;=5,INDEX('PRÊMIOS'!$E$3:$E$7,RANK(E10,E$6:E$25,0)),0)),0)</f>
        <v>0</v>
      </c>
      <c r="K10" s="22">
        <f t="array" ref="K10">IFERROR(IF(F10&lt;=0,0,IF(RANK(F10,F$6:F$25,0)&lt;=5,INDEX('PRÊMIOS'!$F$3:$F$7,RANK(F10,F$6:F$25,0)),0)),0)</f>
        <v>0</v>
      </c>
      <c r="L10" s="23">
        <f t="shared" si="1"/>
        <v>0</v>
      </c>
    </row>
    <row r="11">
      <c r="A11" s="20" t="s">
        <v>44</v>
      </c>
      <c r="B11" s="21"/>
      <c r="C11" s="21"/>
      <c r="D11" s="21"/>
      <c r="E11" s="21"/>
      <c r="F11" s="21"/>
      <c r="G11" s="22">
        <f t="array" ref="G11">IFERROR(IF(B11&lt;=0,0,IF(RANK(B11,B$6:B$25,0)&lt;=5,INDEX('PRÊMIOS'!$B$3:$B$7,RANK(B11,B$6:B$25,0)),0)),0)</f>
        <v>0</v>
      </c>
      <c r="H11" s="22">
        <f t="array" ref="H11">IFERROR(IF(C11&lt;=0,0,IF(RANK(C11,C$6:C$25,0)&lt;=5,INDEX('PRÊMIOS'!$C$3:$C$7,RANK(C11,C$6:C$25,0)),0)),0)</f>
        <v>0</v>
      </c>
      <c r="I11" s="22">
        <f t="array" ref="I11">IFERROR(IF(D11&lt;=0,0,IF(RANK(D11,D$6:D$25,0)&lt;=5,INDEX('PRÊMIOS'!$D$3:$D$7,RANK(D11,D$6:D$25,0)),0)),0)</f>
        <v>0</v>
      </c>
      <c r="J11" s="22">
        <f t="array" ref="J11">IFERROR(IF(E11&lt;=0,0,IF(RANK(E11,E$6:E$25,0)&lt;=5,INDEX('PRÊMIOS'!$E$3:$E$7,RANK(E11,E$6:E$25,0)),0)),0)</f>
        <v>0</v>
      </c>
      <c r="K11" s="22">
        <f t="array" ref="K11">IFERROR(IF(F11&lt;=0,0,IF(RANK(F11,F$6:F$25,0)&lt;=5,INDEX('PRÊMIOS'!$F$3:$F$7,RANK(F11,F$6:F$25,0)),0)),0)</f>
        <v>0</v>
      </c>
      <c r="L11" s="23">
        <f t="shared" si="1"/>
        <v>0</v>
      </c>
    </row>
    <row r="12">
      <c r="A12" s="20" t="s">
        <v>45</v>
      </c>
      <c r="B12" s="21"/>
      <c r="C12" s="21"/>
      <c r="D12" s="21"/>
      <c r="E12" s="21"/>
      <c r="F12" s="21"/>
      <c r="G12" s="22">
        <f t="array" ref="G12">IFERROR(IF(B12&lt;=0,0,IF(RANK(B12,B$6:B$25,0)&lt;=5,INDEX('PRÊMIOS'!$B$3:$B$7,RANK(B12,B$6:B$25,0)),0)),0)</f>
        <v>0</v>
      </c>
      <c r="H12" s="22">
        <f t="array" ref="H12">IFERROR(IF(C12&lt;=0,0,IF(RANK(C12,C$6:C$25,0)&lt;=5,INDEX('PRÊMIOS'!$C$3:$C$7,RANK(C12,C$6:C$25,0)),0)),0)</f>
        <v>0</v>
      </c>
      <c r="I12" s="22">
        <f t="array" ref="I12">IFERROR(IF(D12&lt;=0,0,IF(RANK(D12,D$6:D$25,0)&lt;=5,INDEX('PRÊMIOS'!$D$3:$D$7,RANK(D12,D$6:D$25,0)),0)),0)</f>
        <v>0</v>
      </c>
      <c r="J12" s="22">
        <f t="array" ref="J12">IFERROR(IF(E12&lt;=0,0,IF(RANK(E12,E$6:E$25,0)&lt;=5,INDEX('PRÊMIOS'!$E$3:$E$7,RANK(E12,E$6:E$25,0)),0)),0)</f>
        <v>0</v>
      </c>
      <c r="K12" s="22">
        <f t="array" ref="K12">IFERROR(IF(F12&lt;=0,0,IF(RANK(F12,F$6:F$25,0)&lt;=5,INDEX('PRÊMIOS'!$F$3:$F$7,RANK(F12,F$6:F$25,0)),0)),0)</f>
        <v>0</v>
      </c>
      <c r="L12" s="23">
        <f t="shared" si="1"/>
        <v>0</v>
      </c>
    </row>
    <row r="13">
      <c r="A13" s="20" t="s">
        <v>46</v>
      </c>
      <c r="B13" s="21"/>
      <c r="C13" s="21"/>
      <c r="D13" s="21"/>
      <c r="E13" s="21"/>
      <c r="F13" s="21"/>
      <c r="G13" s="22">
        <f t="array" ref="G13">IFERROR(IF(B13&lt;=0,0,IF(RANK(B13,B$6:B$25,0)&lt;=5,INDEX('PRÊMIOS'!$B$3:$B$7,RANK(B13,B$6:B$25,0)),0)),0)</f>
        <v>0</v>
      </c>
      <c r="H13" s="22">
        <f t="array" ref="H13">IFERROR(IF(C13&lt;=0,0,IF(RANK(C13,C$6:C$25,0)&lt;=5,INDEX('PRÊMIOS'!$C$3:$C$7,RANK(C13,C$6:C$25,0)),0)),0)</f>
        <v>0</v>
      </c>
      <c r="I13" s="22">
        <f t="array" ref="I13">IFERROR(IF(D13&lt;=0,0,IF(RANK(D13,D$6:D$25,0)&lt;=5,INDEX('PRÊMIOS'!$D$3:$D$7,RANK(D13,D$6:D$25,0)),0)),0)</f>
        <v>0</v>
      </c>
      <c r="J13" s="22">
        <f t="array" ref="J13">IFERROR(IF(E13&lt;=0,0,IF(RANK(E13,E$6:E$25,0)&lt;=5,INDEX('PRÊMIOS'!$E$3:$E$7,RANK(E13,E$6:E$25,0)),0)),0)</f>
        <v>0</v>
      </c>
      <c r="K13" s="22">
        <f t="array" ref="K13">IFERROR(IF(F13&lt;=0,0,IF(RANK(F13,F$6:F$25,0)&lt;=5,INDEX('PRÊMIOS'!$F$3:$F$7,RANK(F13,F$6:F$25,0)),0)),0)</f>
        <v>0</v>
      </c>
      <c r="L13" s="23">
        <f t="shared" si="1"/>
        <v>0</v>
      </c>
    </row>
    <row r="14">
      <c r="A14" s="20" t="s">
        <v>47</v>
      </c>
      <c r="B14" s="21"/>
      <c r="C14" s="21"/>
      <c r="D14" s="21"/>
      <c r="E14" s="21"/>
      <c r="F14" s="21"/>
      <c r="G14" s="22">
        <f t="array" ref="G14">IFERROR(IF(B14&lt;=0,0,IF(RANK(B14,B$6:B$25,0)&lt;=5,INDEX('PRÊMIOS'!$B$3:$B$7,RANK(B14,B$6:B$25,0)),0)),0)</f>
        <v>0</v>
      </c>
      <c r="H14" s="22">
        <f t="array" ref="H14">IFERROR(IF(C14&lt;=0,0,IF(RANK(C14,C$6:C$25,0)&lt;=5,INDEX('PRÊMIOS'!$C$3:$C$7,RANK(C14,C$6:C$25,0)),0)),0)</f>
        <v>0</v>
      </c>
      <c r="I14" s="22">
        <f t="array" ref="I14">IFERROR(IF(D14&lt;=0,0,IF(RANK(D14,D$6:D$25,0)&lt;=5,INDEX('PRÊMIOS'!$D$3:$D$7,RANK(D14,D$6:D$25,0)),0)),0)</f>
        <v>0</v>
      </c>
      <c r="J14" s="22">
        <f t="array" ref="J14">IFERROR(IF(E14&lt;=0,0,IF(RANK(E14,E$6:E$25,0)&lt;=5,INDEX('PRÊMIOS'!$E$3:$E$7,RANK(E14,E$6:E$25,0)),0)),0)</f>
        <v>0</v>
      </c>
      <c r="K14" s="22">
        <f t="array" ref="K14">IFERROR(IF(F14&lt;=0,0,IF(RANK(F14,F$6:F$25,0)&lt;=5,INDEX('PRÊMIOS'!$F$3:$F$7,RANK(F14,F$6:F$25,0)),0)),0)</f>
        <v>0</v>
      </c>
      <c r="L14" s="23">
        <f t="shared" si="1"/>
        <v>0</v>
      </c>
    </row>
    <row r="15">
      <c r="A15" s="20" t="s">
        <v>48</v>
      </c>
      <c r="B15" s="21"/>
      <c r="C15" s="21"/>
      <c r="D15" s="21"/>
      <c r="E15" s="21"/>
      <c r="F15" s="21"/>
      <c r="G15" s="22">
        <f t="array" ref="G15">IFERROR(IF(B15&lt;=0,0,IF(RANK(B15,B$6:B$25,0)&lt;=5,INDEX('PRÊMIOS'!$B$3:$B$7,RANK(B15,B$6:B$25,0)),0)),0)</f>
        <v>0</v>
      </c>
      <c r="H15" s="22">
        <f t="array" ref="H15">IFERROR(IF(C15&lt;=0,0,IF(RANK(C15,C$6:C$25,0)&lt;=5,INDEX('PRÊMIOS'!$C$3:$C$7,RANK(C15,C$6:C$25,0)),0)),0)</f>
        <v>0</v>
      </c>
      <c r="I15" s="22">
        <f t="array" ref="I15">IFERROR(IF(D15&lt;=0,0,IF(RANK(D15,D$6:D$25,0)&lt;=5,INDEX('PRÊMIOS'!$D$3:$D$7,RANK(D15,D$6:D$25,0)),0)),0)</f>
        <v>0</v>
      </c>
      <c r="J15" s="22">
        <f t="array" ref="J15">IFERROR(IF(E15&lt;=0,0,IF(RANK(E15,E$6:E$25,0)&lt;=5,INDEX('PRÊMIOS'!$E$3:$E$7,RANK(E15,E$6:E$25,0)),0)),0)</f>
        <v>0</v>
      </c>
      <c r="K15" s="22">
        <f t="array" ref="K15">IFERROR(IF(F15&lt;=0,0,IF(RANK(F15,F$6:F$25,0)&lt;=5,INDEX('PRÊMIOS'!$F$3:$F$7,RANK(F15,F$6:F$25,0)),0)),0)</f>
        <v>0</v>
      </c>
      <c r="L15" s="23">
        <f t="shared" si="1"/>
        <v>0</v>
      </c>
    </row>
    <row r="16">
      <c r="A16" s="20" t="s">
        <v>49</v>
      </c>
      <c r="B16" s="21"/>
      <c r="C16" s="21"/>
      <c r="D16" s="21"/>
      <c r="E16" s="21"/>
      <c r="F16" s="21"/>
      <c r="G16" s="22">
        <f t="array" ref="G16">IFERROR(IF(B16&lt;=0,0,IF(RANK(B16,B$6:B$25,0)&lt;=5,INDEX('PRÊMIOS'!$B$3:$B$7,RANK(B16,B$6:B$25,0)),0)),0)</f>
        <v>0</v>
      </c>
      <c r="H16" s="22">
        <f t="array" ref="H16">IFERROR(IF(C16&lt;=0,0,IF(RANK(C16,C$6:C$25,0)&lt;=5,INDEX('PRÊMIOS'!$C$3:$C$7,RANK(C16,C$6:C$25,0)),0)),0)</f>
        <v>0</v>
      </c>
      <c r="I16" s="22">
        <f t="array" ref="I16">IFERROR(IF(D16&lt;=0,0,IF(RANK(D16,D$6:D$25,0)&lt;=5,INDEX('PRÊMIOS'!$D$3:$D$7,RANK(D16,D$6:D$25,0)),0)),0)</f>
        <v>0</v>
      </c>
      <c r="J16" s="22">
        <f t="array" ref="J16">IFERROR(IF(E16&lt;=0,0,IF(RANK(E16,E$6:E$25,0)&lt;=5,INDEX('PRÊMIOS'!$E$3:$E$7,RANK(E16,E$6:E$25,0)),0)),0)</f>
        <v>0</v>
      </c>
      <c r="K16" s="22">
        <f t="array" ref="K16">IFERROR(IF(F16&lt;=0,0,IF(RANK(F16,F$6:F$25,0)&lt;=5,INDEX('PRÊMIOS'!$F$3:$F$7,RANK(F16,F$6:F$25,0)),0)),0)</f>
        <v>0</v>
      </c>
      <c r="L16" s="23">
        <f t="shared" si="1"/>
        <v>0</v>
      </c>
    </row>
    <row r="17">
      <c r="A17" s="20" t="s">
        <v>50</v>
      </c>
      <c r="B17" s="21"/>
      <c r="C17" s="21"/>
      <c r="D17" s="21"/>
      <c r="E17" s="21"/>
      <c r="F17" s="21"/>
      <c r="G17" s="22">
        <f t="array" ref="G17">IFERROR(IF(B17&lt;=0,0,IF(RANK(B17,B$6:B$25,0)&lt;=5,INDEX('PRÊMIOS'!$B$3:$B$7,RANK(B17,B$6:B$25,0)),0)),0)</f>
        <v>0</v>
      </c>
      <c r="H17" s="22">
        <f t="array" ref="H17">IFERROR(IF(C17&lt;=0,0,IF(RANK(C17,C$6:C$25,0)&lt;=5,INDEX('PRÊMIOS'!$C$3:$C$7,RANK(C17,C$6:C$25,0)),0)),0)</f>
        <v>0</v>
      </c>
      <c r="I17" s="22">
        <f t="array" ref="I17">IFERROR(IF(D17&lt;=0,0,IF(RANK(D17,D$6:D$25,0)&lt;=5,INDEX('PRÊMIOS'!$D$3:$D$7,RANK(D17,D$6:D$25,0)),0)),0)</f>
        <v>0</v>
      </c>
      <c r="J17" s="22">
        <f t="array" ref="J17">IFERROR(IF(E17&lt;=0,0,IF(RANK(E17,E$6:E$25,0)&lt;=5,INDEX('PRÊMIOS'!$E$3:$E$7,RANK(E17,E$6:E$25,0)),0)),0)</f>
        <v>0</v>
      </c>
      <c r="K17" s="22">
        <f t="array" ref="K17">IFERROR(IF(F17&lt;=0,0,IF(RANK(F17,F$6:F$25,0)&lt;=5,INDEX('PRÊMIOS'!$F$3:$F$7,RANK(F17,F$6:F$25,0)),0)),0)</f>
        <v>0</v>
      </c>
      <c r="L17" s="23">
        <f t="shared" si="1"/>
        <v>0</v>
      </c>
    </row>
    <row r="18">
      <c r="A18" s="20" t="s">
        <v>51</v>
      </c>
      <c r="B18" s="21"/>
      <c r="C18" s="21"/>
      <c r="D18" s="21"/>
      <c r="E18" s="21"/>
      <c r="F18" s="21"/>
      <c r="G18" s="22">
        <f t="array" ref="G18">IFERROR(IF(B18&lt;=0,0,IF(RANK(B18,B$6:B$25,0)&lt;=5,INDEX('PRÊMIOS'!$B$3:$B$7,RANK(B18,B$6:B$25,0)),0)),0)</f>
        <v>0</v>
      </c>
      <c r="H18" s="22">
        <f t="array" ref="H18">IFERROR(IF(C18&lt;=0,0,IF(RANK(C18,C$6:C$25,0)&lt;=5,INDEX('PRÊMIOS'!$C$3:$C$7,RANK(C18,C$6:C$25,0)),0)),0)</f>
        <v>0</v>
      </c>
      <c r="I18" s="22">
        <f t="array" ref="I18">IFERROR(IF(D18&lt;=0,0,IF(RANK(D18,D$6:D$25,0)&lt;=5,INDEX('PRÊMIOS'!$D$3:$D$7,RANK(D18,D$6:D$25,0)),0)),0)</f>
        <v>0</v>
      </c>
      <c r="J18" s="22">
        <f t="array" ref="J18">IFERROR(IF(E18&lt;=0,0,IF(RANK(E18,E$6:E$25,0)&lt;=5,INDEX('PRÊMIOS'!$E$3:$E$7,RANK(E18,E$6:E$25,0)),0)),0)</f>
        <v>0</v>
      </c>
      <c r="K18" s="22">
        <f t="array" ref="K18">IFERROR(IF(F18&lt;=0,0,IF(RANK(F18,F$6:F$25,0)&lt;=5,INDEX('PRÊMIOS'!$F$3:$F$7,RANK(F18,F$6:F$25,0)),0)),0)</f>
        <v>0</v>
      </c>
      <c r="L18" s="23">
        <f t="shared" si="1"/>
        <v>0</v>
      </c>
    </row>
    <row r="19">
      <c r="A19" s="20" t="s">
        <v>52</v>
      </c>
      <c r="B19" s="21"/>
      <c r="C19" s="21"/>
      <c r="D19" s="21"/>
      <c r="E19" s="21"/>
      <c r="F19" s="21"/>
      <c r="G19" s="22">
        <f t="array" ref="G19">IFERROR(IF(B19&lt;=0,0,IF(RANK(B19,B$6:B$25,0)&lt;=5,INDEX('PRÊMIOS'!$B$3:$B$7,RANK(B19,B$6:B$25,0)),0)),0)</f>
        <v>0</v>
      </c>
      <c r="H19" s="22">
        <f t="array" ref="H19">IFERROR(IF(C19&lt;=0,0,IF(RANK(C19,C$6:C$25,0)&lt;=5,INDEX('PRÊMIOS'!$C$3:$C$7,RANK(C19,C$6:C$25,0)),0)),0)</f>
        <v>0</v>
      </c>
      <c r="I19" s="22">
        <f t="array" ref="I19">IFERROR(IF(D19&lt;=0,0,IF(RANK(D19,D$6:D$25,0)&lt;=5,INDEX('PRÊMIOS'!$D$3:$D$7,RANK(D19,D$6:D$25,0)),0)),0)</f>
        <v>0</v>
      </c>
      <c r="J19" s="22">
        <f t="array" ref="J19">IFERROR(IF(E19&lt;=0,0,IF(RANK(E19,E$6:E$25,0)&lt;=5,INDEX('PRÊMIOS'!$E$3:$E$7,RANK(E19,E$6:E$25,0)),0)),0)</f>
        <v>0</v>
      </c>
      <c r="K19" s="22">
        <f t="array" ref="K19">IFERROR(IF(F19&lt;=0,0,IF(RANK(F19,F$6:F$25,0)&lt;=5,INDEX('PRÊMIOS'!$F$3:$F$7,RANK(F19,F$6:F$25,0)),0)),0)</f>
        <v>0</v>
      </c>
      <c r="L19" s="23">
        <f t="shared" si="1"/>
        <v>0</v>
      </c>
    </row>
    <row r="20">
      <c r="A20" s="20" t="s">
        <v>53</v>
      </c>
      <c r="B20" s="21"/>
      <c r="C20" s="21"/>
      <c r="D20" s="21"/>
      <c r="E20" s="21"/>
      <c r="F20" s="21"/>
      <c r="G20" s="22">
        <f t="array" ref="G20">IFERROR(IF(B20&lt;=0,0,IF(RANK(B20,B$6:B$25,0)&lt;=5,INDEX('PRÊMIOS'!$B$3:$B$7,RANK(B20,B$6:B$25,0)),0)),0)</f>
        <v>0</v>
      </c>
      <c r="H20" s="22">
        <f t="array" ref="H20">IFERROR(IF(C20&lt;=0,0,IF(RANK(C20,C$6:C$25,0)&lt;=5,INDEX('PRÊMIOS'!$C$3:$C$7,RANK(C20,C$6:C$25,0)),0)),0)</f>
        <v>0</v>
      </c>
      <c r="I20" s="22">
        <f t="array" ref="I20">IFERROR(IF(D20&lt;=0,0,IF(RANK(D20,D$6:D$25,0)&lt;=5,INDEX('PRÊMIOS'!$D$3:$D$7,RANK(D20,D$6:D$25,0)),0)),0)</f>
        <v>0</v>
      </c>
      <c r="J20" s="22">
        <f t="array" ref="J20">IFERROR(IF(E20&lt;=0,0,IF(RANK(E20,E$6:E$25,0)&lt;=5,INDEX('PRÊMIOS'!$E$3:$E$7,RANK(E20,E$6:E$25,0)),0)),0)</f>
        <v>0</v>
      </c>
      <c r="K20" s="22">
        <f t="array" ref="K20">IFERROR(IF(F20&lt;=0,0,IF(RANK(F20,F$6:F$25,0)&lt;=5,INDEX('PRÊMIOS'!$F$3:$F$7,RANK(F20,F$6:F$25,0)),0)),0)</f>
        <v>0</v>
      </c>
      <c r="L20" s="23">
        <f t="shared" si="1"/>
        <v>0</v>
      </c>
    </row>
    <row r="21" ht="15.75" customHeight="1">
      <c r="A21" s="20" t="s">
        <v>54</v>
      </c>
      <c r="B21" s="21"/>
      <c r="C21" s="21"/>
      <c r="D21" s="21"/>
      <c r="E21" s="21"/>
      <c r="F21" s="21"/>
      <c r="G21" s="22">
        <f t="array" ref="G21">IFERROR(IF(B21&lt;=0,0,IF(RANK(B21,B$6:B$25,0)&lt;=5,INDEX('PRÊMIOS'!$B$3:$B$7,RANK(B21,B$6:B$25,0)),0)),0)</f>
        <v>0</v>
      </c>
      <c r="H21" s="22">
        <f t="array" ref="H21">IFERROR(IF(C21&lt;=0,0,IF(RANK(C21,C$6:C$25,0)&lt;=5,INDEX('PRÊMIOS'!$C$3:$C$7,RANK(C21,C$6:C$25,0)),0)),0)</f>
        <v>0</v>
      </c>
      <c r="I21" s="22">
        <f t="array" ref="I21">IFERROR(IF(D21&lt;=0,0,IF(RANK(D21,D$6:D$25,0)&lt;=5,INDEX('PRÊMIOS'!$D$3:$D$7,RANK(D21,D$6:D$25,0)),0)),0)</f>
        <v>0</v>
      </c>
      <c r="J21" s="22">
        <f t="array" ref="J21">IFERROR(IF(E21&lt;=0,0,IF(RANK(E21,E$6:E$25,0)&lt;=5,INDEX('PRÊMIOS'!$E$3:$E$7,RANK(E21,E$6:E$25,0)),0)),0)</f>
        <v>0</v>
      </c>
      <c r="K21" s="22">
        <f t="array" ref="K21">IFERROR(IF(F21&lt;=0,0,IF(RANK(F21,F$6:F$25,0)&lt;=5,INDEX('PRÊMIOS'!$F$3:$F$7,RANK(F21,F$6:F$25,0)),0)),0)</f>
        <v>0</v>
      </c>
      <c r="L21" s="23">
        <f t="shared" si="1"/>
        <v>0</v>
      </c>
    </row>
    <row r="22" ht="15.75" customHeight="1">
      <c r="A22" s="20" t="s">
        <v>55</v>
      </c>
      <c r="B22" s="21"/>
      <c r="C22" s="21"/>
      <c r="D22" s="21"/>
      <c r="E22" s="21"/>
      <c r="F22" s="21"/>
      <c r="G22" s="22">
        <f t="array" ref="G22">IFERROR(IF(B22&lt;=0,0,IF(RANK(B22,B$6:B$25,0)&lt;=5,INDEX('PRÊMIOS'!$B$3:$B$7,RANK(B22,B$6:B$25,0)),0)),0)</f>
        <v>0</v>
      </c>
      <c r="H22" s="22">
        <f t="array" ref="H22">IFERROR(IF(C22&lt;=0,0,IF(RANK(C22,C$6:C$25,0)&lt;=5,INDEX('PRÊMIOS'!$C$3:$C$7,RANK(C22,C$6:C$25,0)),0)),0)</f>
        <v>0</v>
      </c>
      <c r="I22" s="22">
        <f t="array" ref="I22">IFERROR(IF(D22&lt;=0,0,IF(RANK(D22,D$6:D$25,0)&lt;=5,INDEX('PRÊMIOS'!$D$3:$D$7,RANK(D22,D$6:D$25,0)),0)),0)</f>
        <v>0</v>
      </c>
      <c r="J22" s="22">
        <f t="array" ref="J22">IFERROR(IF(E22&lt;=0,0,IF(RANK(E22,E$6:E$25,0)&lt;=5,INDEX('PRÊMIOS'!$E$3:$E$7,RANK(E22,E$6:E$25,0)),0)),0)</f>
        <v>0</v>
      </c>
      <c r="K22" s="22">
        <f t="array" ref="K22">IFERROR(IF(F22&lt;=0,0,IF(RANK(F22,F$6:F$25,0)&lt;=5,INDEX('PRÊMIOS'!$F$3:$F$7,RANK(F22,F$6:F$25,0)),0)),0)</f>
        <v>0</v>
      </c>
      <c r="L22" s="23">
        <f t="shared" si="1"/>
        <v>0</v>
      </c>
    </row>
    <row r="23" ht="15.75" customHeight="1">
      <c r="A23" s="20" t="s">
        <v>56</v>
      </c>
      <c r="B23" s="21"/>
      <c r="C23" s="21"/>
      <c r="D23" s="21"/>
      <c r="E23" s="21"/>
      <c r="F23" s="21"/>
      <c r="G23" s="22">
        <f t="array" ref="G23">IFERROR(IF(B23&lt;=0,0,IF(RANK(B23,B$6:B$25,0)&lt;=5,INDEX('PRÊMIOS'!$B$3:$B$7,RANK(B23,B$6:B$25,0)),0)),0)</f>
        <v>0</v>
      </c>
      <c r="H23" s="22">
        <f t="array" ref="H23">IFERROR(IF(C23&lt;=0,0,IF(RANK(C23,C$6:C$25,0)&lt;=5,INDEX('PRÊMIOS'!$C$3:$C$7,RANK(C23,C$6:C$25,0)),0)),0)</f>
        <v>0</v>
      </c>
      <c r="I23" s="22">
        <f t="array" ref="I23">IFERROR(IF(D23&lt;=0,0,IF(RANK(D23,D$6:D$25,0)&lt;=5,INDEX('PRÊMIOS'!$D$3:$D$7,RANK(D23,D$6:D$25,0)),0)),0)</f>
        <v>0</v>
      </c>
      <c r="J23" s="22">
        <f t="array" ref="J23">IFERROR(IF(E23&lt;=0,0,IF(RANK(E23,E$6:E$25,0)&lt;=5,INDEX('PRÊMIOS'!$E$3:$E$7,RANK(E23,E$6:E$25,0)),0)),0)</f>
        <v>0</v>
      </c>
      <c r="K23" s="22">
        <f t="array" ref="K23">IFERROR(IF(F23&lt;=0,0,IF(RANK(F23,F$6:F$25,0)&lt;=5,INDEX('PRÊMIOS'!$F$3:$F$7,RANK(F23,F$6:F$25,0)),0)),0)</f>
        <v>0</v>
      </c>
      <c r="L23" s="23">
        <f t="shared" si="1"/>
        <v>0</v>
      </c>
    </row>
    <row r="24" ht="15.75" customHeight="1">
      <c r="A24" s="20" t="s">
        <v>57</v>
      </c>
      <c r="B24" s="21"/>
      <c r="C24" s="21"/>
      <c r="D24" s="21"/>
      <c r="E24" s="21"/>
      <c r="F24" s="21"/>
      <c r="G24" s="22">
        <f t="array" ref="G24">IFERROR(IF(B24&lt;=0,0,IF(RANK(B24,B$6:B$25,0)&lt;=5,INDEX('PRÊMIOS'!$B$3:$B$7,RANK(B24,B$6:B$25,0)),0)),0)</f>
        <v>0</v>
      </c>
      <c r="H24" s="22">
        <f t="array" ref="H24">IFERROR(IF(C24&lt;=0,0,IF(RANK(C24,C$6:C$25,0)&lt;=5,INDEX('PRÊMIOS'!$C$3:$C$7,RANK(C24,C$6:C$25,0)),0)),0)</f>
        <v>0</v>
      </c>
      <c r="I24" s="22">
        <f t="array" ref="I24">IFERROR(IF(D24&lt;=0,0,IF(RANK(D24,D$6:D$25,0)&lt;=5,INDEX('PRÊMIOS'!$D$3:$D$7,RANK(D24,D$6:D$25,0)),0)),0)</f>
        <v>0</v>
      </c>
      <c r="J24" s="22">
        <f t="array" ref="J24">IFERROR(IF(E24&lt;=0,0,IF(RANK(E24,E$6:E$25,0)&lt;=5,INDEX('PRÊMIOS'!$E$3:$E$7,RANK(E24,E$6:E$25,0)),0)),0)</f>
        <v>0</v>
      </c>
      <c r="K24" s="22">
        <f t="array" ref="K24">IFERROR(IF(F24&lt;=0,0,IF(RANK(F24,F$6:F$25,0)&lt;=5,INDEX('PRÊMIOS'!$F$3:$F$7,RANK(F24,F$6:F$25,0)),0)),0)</f>
        <v>0</v>
      </c>
      <c r="L24" s="23">
        <f t="shared" si="1"/>
        <v>0</v>
      </c>
    </row>
    <row r="25" ht="15.75" customHeight="1">
      <c r="A25" s="20" t="s">
        <v>58</v>
      </c>
      <c r="B25" s="21"/>
      <c r="C25" s="21"/>
      <c r="D25" s="21"/>
      <c r="E25" s="21"/>
      <c r="F25" s="21"/>
      <c r="G25" s="22">
        <f t="array" ref="G25">IFERROR(IF(B25&lt;=0,0,IF(RANK(B25,B$6:B$25,0)&lt;=5,INDEX('PRÊMIOS'!$B$3:$B$7,RANK(B25,B$6:B$25,0)),0)),0)</f>
        <v>0</v>
      </c>
      <c r="H25" s="22">
        <f t="array" ref="H25">IFERROR(IF(C25&lt;=0,0,IF(RANK(C25,C$6:C$25,0)&lt;=5,INDEX('PRÊMIOS'!$C$3:$C$7,RANK(C25,C$6:C$25,0)),0)),0)</f>
        <v>0</v>
      </c>
      <c r="I25" s="22">
        <f t="array" ref="I25">IFERROR(IF(D25&lt;=0,0,IF(RANK(D25,D$6:D$25,0)&lt;=5,INDEX('PRÊMIOS'!$D$3:$D$7,RANK(D25,D$6:D$25,0)),0)),0)</f>
        <v>0</v>
      </c>
      <c r="J25" s="22">
        <f t="array" ref="J25">IFERROR(IF(E25&lt;=0,0,IF(RANK(E25,E$6:E$25,0)&lt;=5,INDEX('PRÊMIOS'!$E$3:$E$7,RANK(E25,E$6:E$25,0)),0)),0)</f>
        <v>0</v>
      </c>
      <c r="K25" s="22">
        <f t="array" ref="K25">IFERROR(IF(F25&lt;=0,0,IF(RANK(F25,F$6:F$25,0)&lt;=5,INDEX('PRÊMIOS'!$F$3:$F$7,RANK(F25,F$6:F$25,0)),0)),0)</f>
        <v>0</v>
      </c>
      <c r="L25" s="23">
        <f t="shared" si="1"/>
        <v>0</v>
      </c>
    </row>
    <row r="26" ht="15.75" customHeight="1">
      <c r="A26" s="20" t="s">
        <v>59</v>
      </c>
      <c r="B26" s="21"/>
      <c r="C26" s="21"/>
      <c r="D26" s="21"/>
      <c r="E26" s="21"/>
      <c r="F26" s="21"/>
      <c r="G26" s="22">
        <f t="array" ref="G26">IFERROR(IF(B26&lt;=0,0,IF(RANK(B26,B$6:B$25,0)&lt;=5,INDEX('PRÊMIOS'!$B$3:$B$7,RANK(B26,B$6:B$25,0)),0)),0)</f>
        <v>0</v>
      </c>
      <c r="H26" s="22">
        <f t="array" ref="H26">IFERROR(IF(C26&lt;=0,0,IF(RANK(C26,C$6:C$25,0)&lt;=5,INDEX('PRÊMIOS'!$C$3:$C$7,RANK(C26,C$6:C$25,0)),0)),0)</f>
        <v>0</v>
      </c>
      <c r="I26" s="22">
        <f t="array" ref="I26">IFERROR(IF(D26&lt;=0,0,IF(RANK(D26,D$6:D$25,0)&lt;=5,INDEX('PRÊMIOS'!$D$3:$D$7,RANK(D26,D$6:D$25,0)),0)),0)</f>
        <v>0</v>
      </c>
      <c r="J26" s="22">
        <f t="array" ref="J26">IFERROR(IF(E26&lt;=0,0,IF(RANK(E26,E$6:E$25,0)&lt;=5,INDEX('PRÊMIOS'!$E$3:$E$7,RANK(E26,E$6:E$25,0)),0)),0)</f>
        <v>0</v>
      </c>
      <c r="K26" s="22">
        <f t="array" ref="K26">IFERROR(IF(F26&lt;=0,0,IF(RANK(F26,F$6:F$25,0)&lt;=5,INDEX('PRÊMIOS'!$F$3:$F$7,RANK(F26,F$6:F$25,0)),0)),0)</f>
        <v>0</v>
      </c>
      <c r="L26" s="23">
        <f t="shared" si="1"/>
        <v>0</v>
      </c>
    </row>
    <row r="27" ht="15.75" customHeight="1">
      <c r="A27" s="24" t="s">
        <v>60</v>
      </c>
      <c r="B27" s="25"/>
      <c r="C27" s="25"/>
      <c r="D27" s="25"/>
      <c r="E27" s="25"/>
      <c r="F27" s="25"/>
      <c r="G27" s="26">
        <f t="shared" ref="G27:L27" si="2">SUM(G6:G26)</f>
        <v>0</v>
      </c>
      <c r="H27" s="26">
        <f t="shared" si="2"/>
        <v>0</v>
      </c>
      <c r="I27" s="26">
        <f t="shared" si="2"/>
        <v>0</v>
      </c>
      <c r="J27" s="26">
        <f t="shared" si="2"/>
        <v>0</v>
      </c>
      <c r="K27" s="26">
        <f t="shared" si="2"/>
        <v>0</v>
      </c>
      <c r="L27" s="27">
        <f t="shared" si="2"/>
        <v>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A1:L1"/>
    <mergeCell ref="B2:D2"/>
    <mergeCell ref="A3:L3"/>
    <mergeCell ref="B4:F4"/>
    <mergeCell ref="G4:K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6" width="17.0"/>
    <col customWidth="1" min="7" max="26" width="8.71"/>
  </cols>
  <sheetData>
    <row r="1">
      <c r="A1" s="1" t="s">
        <v>0</v>
      </c>
      <c r="B1" s="2"/>
      <c r="C1" s="2"/>
      <c r="D1" s="2"/>
      <c r="E1" s="2"/>
      <c r="F1" s="3"/>
    </row>
    <row r="2">
      <c r="A2" s="5" t="s">
        <v>3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</row>
    <row r="3">
      <c r="A3" s="7" t="s">
        <v>10</v>
      </c>
      <c r="B3" s="9">
        <v>350.0</v>
      </c>
      <c r="C3" s="9">
        <v>350.0</v>
      </c>
      <c r="D3" s="9">
        <v>400.0</v>
      </c>
      <c r="E3" s="9">
        <v>400.0</v>
      </c>
      <c r="F3" s="9">
        <v>350.0</v>
      </c>
    </row>
    <row r="4">
      <c r="A4" s="7" t="s">
        <v>12</v>
      </c>
      <c r="B4" s="9">
        <v>250.0</v>
      </c>
      <c r="C4" s="9">
        <v>250.0</v>
      </c>
      <c r="D4" s="9">
        <v>250.0</v>
      </c>
      <c r="E4" s="9">
        <v>250.0</v>
      </c>
      <c r="F4" s="9">
        <v>250.0</v>
      </c>
    </row>
    <row r="5">
      <c r="A5" s="7" t="s">
        <v>13</v>
      </c>
      <c r="B5" s="9">
        <v>200.0</v>
      </c>
      <c r="C5" s="9">
        <v>200.0</v>
      </c>
      <c r="D5" s="9">
        <v>175.0</v>
      </c>
      <c r="E5" s="9">
        <v>175.0</v>
      </c>
      <c r="F5" s="9">
        <v>175.0</v>
      </c>
    </row>
    <row r="6">
      <c r="A6" s="7" t="s">
        <v>16</v>
      </c>
      <c r="B6" s="9">
        <v>150.0</v>
      </c>
      <c r="C6" s="9">
        <v>150.0</v>
      </c>
      <c r="D6" s="9">
        <v>150.0</v>
      </c>
      <c r="E6" s="9">
        <v>125.0</v>
      </c>
      <c r="F6" s="9">
        <v>150.0</v>
      </c>
    </row>
    <row r="7">
      <c r="A7" s="7" t="s">
        <v>17</v>
      </c>
      <c r="B7" s="9">
        <v>100.0</v>
      </c>
      <c r="C7" s="9">
        <v>100.0</v>
      </c>
      <c r="D7" s="9">
        <v>100.0</v>
      </c>
      <c r="E7" s="9">
        <v>100.0</v>
      </c>
      <c r="F7" s="9">
        <v>100.0</v>
      </c>
    </row>
    <row r="9">
      <c r="A9" s="12" t="s">
        <v>18</v>
      </c>
      <c r="B9" s="16">
        <f t="shared" ref="B9:F9" si="1">SUM(B3:B7)</f>
        <v>1050</v>
      </c>
      <c r="C9" s="16">
        <f t="shared" si="1"/>
        <v>1050</v>
      </c>
      <c r="D9" s="16">
        <f t="shared" si="1"/>
        <v>1075</v>
      </c>
      <c r="E9" s="16">
        <f t="shared" si="1"/>
        <v>1050</v>
      </c>
      <c r="F9" s="16">
        <f t="shared" si="1"/>
        <v>1025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95.0"/>
    <col customWidth="1" min="3" max="26" width="8.71"/>
  </cols>
  <sheetData>
    <row r="1">
      <c r="A1" s="1" t="s">
        <v>14</v>
      </c>
      <c r="B1" s="3"/>
    </row>
    <row r="3">
      <c r="A3" s="14" t="s">
        <v>20</v>
      </c>
      <c r="B3" s="15" t="s">
        <v>23</v>
      </c>
    </row>
    <row r="4">
      <c r="A4" s="14" t="s">
        <v>24</v>
      </c>
      <c r="B4" s="15" t="s">
        <v>25</v>
      </c>
    </row>
    <row r="5">
      <c r="A5" s="14" t="s">
        <v>26</v>
      </c>
      <c r="B5" s="15" t="s">
        <v>27</v>
      </c>
    </row>
    <row r="6">
      <c r="A6" s="14" t="s">
        <v>28</v>
      </c>
      <c r="B6" s="15" t="s">
        <v>29</v>
      </c>
    </row>
    <row r="7">
      <c r="A7" s="14" t="s">
        <v>30</v>
      </c>
      <c r="B7" s="15" t="s">
        <v>31</v>
      </c>
    </row>
    <row r="8">
      <c r="A8" s="14" t="s">
        <v>32</v>
      </c>
      <c r="B8" s="15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2026-07-31T00:03:42Z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