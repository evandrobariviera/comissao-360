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4"/>
    <sheet state="visible" name="PARÂMETROS" sheetId="2" r:id="rId5"/>
    <sheet state="visible" name="COMO USAR" sheetId="3" r:id="rId6"/>
  </sheets>
  <definedNames/>
  <calcPr/>
  <extLst>
    <ext uri="GoogleSheetsCustomDataVersion2">
      <go:sheetsCustomData xmlns:go="http://customooxmlschemas.google.com/" r:id="rId7" roundtripDataChecksum="0gJafCgHzPzB8ZUzRRyYcwShD2kafr/m6I20W4Hsb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======
ID#AAACEj38-iY
Unknown Author    (2026-07-31 11:14:41)
Manipulação + S/N somados; faixa aplicada sobre o total.</t>
      </text>
    </comment>
    <comment authorId="0" ref="A40">
      <text>
        <t xml:space="preserve">======
ID#AAACEj38-iU
Unknown Author    (2026-07-31 11:14:41)
= desconto (máx 6) + rentab. farmácia atingiu (7) + rentab. funcionário atingiu (7), limitado a 20. Metas e pontos na aba PARÂMETROS, seção E.</t>
      </text>
    </comment>
  </commentList>
  <extLst>
    <ext uri="GoogleSheetsCustomDataVersion2">
      <go:sheetsCustomData xmlns:go="http://customooxmlschemas.google.com/" r:id="rId1" roundtripDataSignature="AMtx7mhAHG2zdXymeH/HEOZ7xnJGQ/pBn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======
ID#AAACEj38-ig
Unknown Author    (2026-07-31 11:14:41)
Novos parâmetros (Beto): a filial e o funcionário pontuam se atingem a meta de rentabilidade (%). A rentab. realizada da FARMÁCIA fica na seção G; a do FUNCIONÁRIO é preenchida por vendedor no SIMULADOR.</t>
      </text>
    </comment>
    <comment authorId="0" ref="A20">
      <text>
        <t xml:space="preserve">======
ID#AAACEj38-ic
Unknown Author    (2026-07-31 11:14:41)
Manipulação: a comissão é calculada sobre Manipulação + S/N.</t>
      </text>
    </comment>
  </commentList>
  <extLst>
    <ext uri="GoogleSheetsCustomDataVersion2">
      <go:sheetsCustomData xmlns:go="http://customooxmlschemas.google.com/" r:id="rId1" roundtripDataSignature="AMtx7miX5q9lVZ6lnInOT8zXjTYMm/ylwA=="/>
    </ext>
  </extLst>
</comments>
</file>

<file path=xl/sharedStrings.xml><?xml version="1.0" encoding="utf-8"?>
<sst xmlns="http://schemas.openxmlformats.org/spreadsheetml/2006/main" count="137" uniqueCount="113">
  <si>
    <t>PARÂMETROS DA POLÍTICA — edite as regras aqui (texto azul = editável)</t>
  </si>
  <si>
    <t>SIMULADOR DE COMISSÃO — META 360 · GEREMIAS</t>
  </si>
  <si>
    <t>A. METAS INDIVIDUAIS POR CATEGORIA (R$/mês)</t>
  </si>
  <si>
    <t>Preencha as células AMARELAS. As brancas calculam sozinhas. Tiago = EXEMPLO. Manipulação já inclui o S/N. Rentabilidade da farmácia e do funcionário pontuam se atingem a meta (aba PARÂMETROS).</t>
  </si>
  <si>
    <t>COMO USAR ESTE SIMULADOR</t>
  </si>
  <si>
    <t>Categoria</t>
  </si>
  <si>
    <t>1.</t>
  </si>
  <si>
    <t>LARISSA</t>
  </si>
  <si>
    <t>Preencha as células AMARELAS de cada vendedor: vendas por categoria, desconto médio, rentabilidade da venda %, comissão paga hoje e os campos de Equipe.</t>
  </si>
  <si>
    <t>MARINARA</t>
  </si>
  <si>
    <t>2.</t>
  </si>
  <si>
    <t>TIAGO PEREIRA</t>
  </si>
  <si>
    <t>A coluna do TIAGO vem com números de EXEMPLO. Substitua pelos reais.</t>
  </si>
  <si>
    <t>3.</t>
  </si>
  <si>
    <t>Vendedor 4</t>
  </si>
  <si>
    <t>Manipulação + S/N: o S/N não passa no sistema, mas é pago junto com a manipulação. A planilha soma os dois e aplica a faixa da manipulação sobre o total.</t>
  </si>
  <si>
    <t>Vendedor 5</t>
  </si>
  <si>
    <t>4.</t>
  </si>
  <si>
    <t>Rentabilidade (novo): o pilar Qualidade/Rentabilidade (20 pts) agora é desconto (6) + rentabilidade da farmácia atingida (7) + rentabilidade do funcionário atingida (7). As metas de % e os pontos ficam na aba PARÂMETROS, seção E; a rentab. realizada da farmácia fica na seção G.</t>
  </si>
  <si>
    <t>FILIAL (TOTAL)</t>
  </si>
  <si>
    <t>5.</t>
  </si>
  <si>
    <t>► PREENCHER — DADOS DO MÊS</t>
  </si>
  <si>
    <t>A planilha não trata salário nem remuneração — é só o parâmetro de comissionamento. A remuneração final (dias trabalhados etc.) é calculada na folha.</t>
  </si>
  <si>
    <t>Similar</t>
  </si>
  <si>
    <t>6.</t>
  </si>
  <si>
    <t>A coluna FILIAL (TOTAL) soma os vendedores. As linhas 'Δ vs comissão de hoje' comparam o modelo novo com o que se paga hoje — é a prova de custo.</t>
  </si>
  <si>
    <t>— Vendas por categoria (R$) —</t>
  </si>
  <si>
    <t>7.</t>
  </si>
  <si>
    <t>Modelo Original × Protegido (★, recomendado): no Original o multiplicador incide sobre tudo. No Protegido a comissão vendida é piso e o 360 só soma por cima.</t>
  </si>
  <si>
    <t>Genérico</t>
  </si>
  <si>
    <t>8.</t>
  </si>
  <si>
    <t>Para mudar qualquer regra, use a aba PARÂMETROS (textos azuis são editáveis).</t>
  </si>
  <si>
    <t>Perfumaria</t>
  </si>
  <si>
    <t>Manipulação</t>
  </si>
  <si>
    <t>RX</t>
  </si>
  <si>
    <t>Conveniência</t>
  </si>
  <si>
    <t>Correlatos</t>
  </si>
  <si>
    <t>S/N</t>
  </si>
  <si>
    <t>Meta Individual Total</t>
  </si>
  <si>
    <t>B. TABELA DE COMISSÃO POR CATEGORIA (o % da faixa incide sobre o total vendido na categoria)</t>
  </si>
  <si>
    <t>Até faixa 1 (R$)</t>
  </si>
  <si>
    <t>Até faixa 2 (R$)</t>
  </si>
  <si>
    <t>Até faixa 3 (R$)</t>
  </si>
  <si>
    <t>S/N (sem nota)</t>
  </si>
  <si>
    <t>% faixa 1</t>
  </si>
  <si>
    <t>% faixa 2</t>
  </si>
  <si>
    <t>% faixa 3</t>
  </si>
  <si>
    <t>% acima</t>
  </si>
  <si>
    <t>Venda Total (calc)</t>
  </si>
  <si>
    <t>Ticket Médio (R$) — opcional</t>
  </si>
  <si>
    <t>Desconto Médio %</t>
  </si>
  <si>
    <t>C. PONTOS — RESULTADO INDIVIDUAL (peso 40) · por % de atingimento da meta</t>
  </si>
  <si>
    <t>Atingimento ≥</t>
  </si>
  <si>
    <t>Pontos</t>
  </si>
  <si>
    <t>Rentabilidade da venda % (funcionário)</t>
  </si>
  <si>
    <t>D. PONTOS — RESULTADO FILIAL (peso 30) · por % de atingimento da filial</t>
  </si>
  <si>
    <t>Comissão paga HOJE (R$)</t>
  </si>
  <si>
    <t>E. QUALIDADE / RENTABILIDADE (peso 20 = desconto 6 + rentab. farmácia 7 + rentab. funcionário 7)</t>
  </si>
  <si>
    <t>► PREENCHER — EQUIPE (Meta 360)</t>
  </si>
  <si>
    <t>Desconto ≤ (pts cheios)</t>
  </si>
  <si>
    <t>Desconto ≥ (0 pts)</t>
  </si>
  <si>
    <t>Pontos máx. desconto</t>
  </si>
  <si>
    <t>Equipe: sem falta injustificada (1/0)</t>
  </si>
  <si>
    <t>Meta rentab. FARMÁCIA (%)</t>
  </si>
  <si>
    <t>Pontos se farmácia atinge</t>
  </si>
  <si>
    <t>Meta rentab. FUNCIONÁRIO (%)</t>
  </si>
  <si>
    <t>Pontos se funcionário atinge</t>
  </si>
  <si>
    <t>F. TABELA DE MULTIPLICADOR (Meta 360)</t>
  </si>
  <si>
    <t>Equipe: cumpriu escala/cobriu (1/0)</t>
  </si>
  <si>
    <t>Pontuação ≥</t>
  </si>
  <si>
    <t>Nível</t>
  </si>
  <si>
    <t>Multiplicador</t>
  </si>
  <si>
    <t>Equipe: setor organizado / sem ruptura (1/0)</t>
  </si>
  <si>
    <t>Em desenvolvimento</t>
  </si>
  <si>
    <t>Bronze</t>
  </si>
  <si>
    <t>Equipe: ajudou/treinou colega (1/0)</t>
  </si>
  <si>
    <t>Prata</t>
  </si>
  <si>
    <t>Platina</t>
  </si>
  <si>
    <t>Diamante</t>
  </si>
  <si>
    <t>Equipe: loja bateu meta coletiva (1/0)</t>
  </si>
  <si>
    <t>Ouro</t>
  </si>
  <si>
    <t>G. PRÊMIO E FILIAL</t>
  </si>
  <si>
    <t>Prêmio Meta Filial (R$)</t>
  </si>
  <si>
    <t>► CÁLCULO — COMISSÃO POR CATEGORIA (R$)</t>
  </si>
  <si>
    <t>Meta da filial no mês (R$)</t>
  </si>
  <si>
    <t>Realizado da filial no mês (R$)</t>
  </si>
  <si>
    <t>Atingimento da filial %</t>
  </si>
  <si>
    <t>Com. Similar</t>
  </si>
  <si>
    <t>Filial bateu a meta?</t>
  </si>
  <si>
    <t>Rentab. REALIZADA da farmácia (%)</t>
  </si>
  <si>
    <t>Com. Genérico</t>
  </si>
  <si>
    <t>Com. Perfumaria</t>
  </si>
  <si>
    <t>Com. Manipulação (+ S/N)</t>
  </si>
  <si>
    <t>Com. RX</t>
  </si>
  <si>
    <t>Com. Conveniência</t>
  </si>
  <si>
    <t>Com. Correlatos</t>
  </si>
  <si>
    <t>COMISSÃO-BASE (R$)</t>
  </si>
  <si>
    <t>► CÁLCULO — PONTUAÇÃO META 360 (0–100)</t>
  </si>
  <si>
    <t>Meta Individual (R$)</t>
  </si>
  <si>
    <t>Atingimento individual %</t>
  </si>
  <si>
    <t>Pontos Individual (0–40)</t>
  </si>
  <si>
    <t>Atingimento filial %</t>
  </si>
  <si>
    <t>Pontos Filial (0–30)</t>
  </si>
  <si>
    <t>Pontos Qualidade/Rentab. (0–20)</t>
  </si>
  <si>
    <t>Pontos Equipe (0–10)</t>
  </si>
  <si>
    <t>PONTUAÇÃO FINAL (0–100)</t>
  </si>
  <si>
    <t>► RESULTADO — COMISSÃO</t>
  </si>
  <si>
    <t>Comissão Ajustada (Base × Mult)</t>
  </si>
  <si>
    <t>Prêmio Filial (R$)</t>
  </si>
  <si>
    <t>TOTAL COMISSÃO — Modelo Original</t>
  </si>
  <si>
    <t>TOTAL COMISSÃO — Modelo Protegido ★</t>
  </si>
  <si>
    <t>Δ vs comissão de hoje — Original</t>
  </si>
  <si>
    <t>Δ vs comissão de hoje — Protegido 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</si>
</sst>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"/>
    <numFmt numFmtId="165" formatCode="0.0%"/>
    <numFmt numFmtId="166" formatCode="0.0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0061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4" fillId="4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top" wrapText="0"/>
    </xf>
    <xf borderId="4" fillId="4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5" fontId="7" numFmtId="164" xfId="0" applyAlignment="1" applyBorder="1" applyFill="1" applyFont="1" applyNumberFormat="1">
      <alignment shrinkToFit="0" vertical="bottom" wrapText="0"/>
    </xf>
    <xf borderId="4" fillId="4" fontId="6" numFmtId="164" xfId="0" applyAlignment="1" applyBorder="1" applyFont="1" applyNumberFormat="1">
      <alignment shrinkToFit="0" vertical="bottom" wrapText="0"/>
    </xf>
    <xf borderId="4" fillId="0" fontId="7" numFmtId="3" xfId="0" applyAlignment="1" applyBorder="1" applyFont="1" applyNumberFormat="1">
      <alignment shrinkToFit="0" vertical="bottom" wrapText="0"/>
    </xf>
    <xf borderId="4" fillId="0" fontId="7" numFmtId="9" xfId="0" applyAlignment="1" applyBorder="1" applyFont="1" applyNumberFormat="1">
      <alignment shrinkToFit="0" vertical="bottom" wrapText="0"/>
    </xf>
    <xf borderId="4" fillId="5" fontId="7" numFmtId="165" xfId="0" applyAlignment="1" applyBorder="1" applyFont="1" applyNumberFormat="1">
      <alignment shrinkToFit="0" vertical="bottom" wrapText="0"/>
    </xf>
    <xf borderId="4" fillId="0" fontId="7" numFmtId="165" xfId="0" applyAlignment="1" applyBorder="1" applyFont="1" applyNumberFormat="1">
      <alignment shrinkToFit="0" vertical="bottom" wrapText="0"/>
    </xf>
    <xf borderId="4" fillId="0" fontId="7" numFmtId="166" xfId="0" applyAlignment="1" applyBorder="1" applyFont="1" applyNumberFormat="1">
      <alignment shrinkToFit="0" vertical="bottom" wrapText="0"/>
    </xf>
    <xf borderId="4" fillId="5" fontId="7" numFmtId="1" xfId="0" applyAlignment="1" applyBorder="1" applyFont="1" applyNumberFormat="1">
      <alignment readingOrder="0" shrinkToFit="0" vertical="bottom" wrapText="0"/>
    </xf>
    <xf borderId="4" fillId="5" fontId="7" numFmtId="1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2" xfId="0" applyAlignment="1" applyBorder="1" applyFont="1" applyNumberFormat="1">
      <alignment shrinkToFit="0" vertical="bottom" wrapText="0"/>
    </xf>
    <xf borderId="4" fillId="4" fontId="6" numFmtId="165" xfId="0" applyAlignment="1" applyBorder="1" applyFont="1" applyNumberFormat="1">
      <alignment shrinkToFit="0" vertical="bottom" wrapText="0"/>
    </xf>
    <xf borderId="4" fillId="4" fontId="6" numFmtId="0" xfId="0" applyAlignment="1" applyBorder="1" applyFont="1">
      <alignment horizontal="center" shrinkToFit="0" vertical="center" wrapText="0"/>
    </xf>
    <xf borderId="4" fillId="5" fontId="7" numFmtId="165" xfId="0" applyAlignment="1" applyBorder="1" applyFont="1" applyNumberFormat="1">
      <alignment readingOrder="0" shrinkToFit="0" vertical="bottom" wrapText="0"/>
    </xf>
    <xf borderId="4" fillId="0" fontId="6" numFmtId="164" xfId="0" applyAlignment="1" applyBorder="1" applyFont="1" applyNumberFormat="1">
      <alignment shrinkToFit="0" vertical="bottom" wrapText="0"/>
    </xf>
    <xf borderId="4" fillId="6" fontId="5" numFmtId="0" xfId="0" applyAlignment="1" applyBorder="1" applyFill="1" applyFont="1">
      <alignment shrinkToFit="0" vertical="bottom" wrapText="0"/>
    </xf>
    <xf borderId="4" fillId="6" fontId="5" numFmtId="164" xfId="0" applyAlignment="1" applyBorder="1" applyFont="1" applyNumberFormat="1">
      <alignment shrinkToFit="0" vertical="bottom" wrapText="0"/>
    </xf>
    <xf borderId="4" fillId="0" fontId="6" numFmtId="165" xfId="0" applyAlignment="1" applyBorder="1" applyFont="1" applyNumberFormat="1">
      <alignment shrinkToFit="0" vertical="bottom" wrapText="0"/>
    </xf>
    <xf borderId="4" fillId="0" fontId="6" numFmtId="166" xfId="0" applyAlignment="1" applyBorder="1" applyFont="1" applyNumberFormat="1">
      <alignment shrinkToFit="0" vertical="bottom" wrapText="0"/>
    </xf>
    <xf borderId="4" fillId="0" fontId="6" numFmtId="166" xfId="0" applyAlignment="1" applyBorder="1" applyFont="1" applyNumberFormat="1">
      <alignment readingOrder="0" shrinkToFit="0" vertical="bottom" wrapText="0"/>
    </xf>
    <xf borderId="4" fillId="4" fontId="5" numFmtId="166" xfId="0" applyAlignment="1" applyBorder="1" applyFont="1" applyNumberFormat="1">
      <alignment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2" xfId="0" applyAlignment="1" applyBorder="1" applyFont="1" applyNumberForma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4" fillId="8" fontId="5" numFmtId="0" xfId="0" applyAlignment="1" applyBorder="1" applyFill="1" applyFont="1">
      <alignment shrinkToFit="0" vertical="bottom" wrapText="0"/>
    </xf>
    <xf borderId="4" fillId="8" fontId="5" numFmtId="164" xfId="0" applyAlignment="1" applyBorder="1" applyFont="1" applyNumberFormat="1">
      <alignment shrinkToFit="0" vertical="bottom" wrapText="0"/>
    </xf>
    <xf borderId="4" fillId="9" fontId="8" numFmtId="0" xfId="0" applyAlignment="1" applyBorder="1" applyFill="1" applyFont="1">
      <alignment shrinkToFit="0" vertical="bottom" wrapText="0"/>
    </xf>
    <xf borderId="4" fillId="9" fontId="8" numFmtId="164" xfId="0" applyAlignment="1" applyBorder="1" applyFont="1" applyNumberForma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0.0"/>
    <col customWidth="1" min="2" max="2" width="20.57"/>
    <col customWidth="1" min="3" max="3" width="21.14"/>
    <col customWidth="1" min="4" max="4" width="20.43"/>
    <col customWidth="1" min="5" max="5" width="20.57"/>
    <col customWidth="1" min="6" max="6" width="21.14"/>
    <col customWidth="1" min="7" max="7" width="16.0"/>
    <col customWidth="1" min="8" max="26" width="8.71"/>
  </cols>
  <sheetData>
    <row r="1">
      <c r="A1" s="1" t="s">
        <v>1</v>
      </c>
      <c r="B1" s="2"/>
      <c r="C1" s="2"/>
      <c r="D1" s="2"/>
      <c r="E1" s="2"/>
      <c r="F1" s="2"/>
      <c r="G1" s="3"/>
    </row>
    <row r="2" ht="21.75" customHeight="1">
      <c r="A2" s="4" t="s">
        <v>3</v>
      </c>
    </row>
    <row r="3">
      <c r="A3" s="6"/>
      <c r="B3" s="9" t="s">
        <v>7</v>
      </c>
      <c r="C3" s="9" t="s">
        <v>9</v>
      </c>
      <c r="D3" s="9" t="s">
        <v>11</v>
      </c>
      <c r="E3" s="7" t="s">
        <v>14</v>
      </c>
      <c r="F3" s="7" t="s">
        <v>16</v>
      </c>
      <c r="G3" s="7" t="s">
        <v>19</v>
      </c>
    </row>
    <row r="4">
      <c r="A4" s="5" t="s">
        <v>21</v>
      </c>
      <c r="B4" s="2"/>
      <c r="C4" s="2"/>
      <c r="D4" s="2"/>
      <c r="E4" s="2"/>
      <c r="F4" s="2"/>
      <c r="G4" s="3"/>
    </row>
    <row r="5">
      <c r="A5" s="13" t="s">
        <v>26</v>
      </c>
      <c r="B5" s="11"/>
      <c r="C5" s="11"/>
      <c r="D5" s="11"/>
      <c r="E5" s="11"/>
      <c r="F5" s="11"/>
    </row>
    <row r="6">
      <c r="A6" s="11" t="s">
        <v>23</v>
      </c>
      <c r="B6" s="15"/>
      <c r="C6" s="15"/>
      <c r="D6" s="15"/>
      <c r="E6" s="15"/>
      <c r="F6" s="15"/>
    </row>
    <row r="7">
      <c r="A7" s="11" t="s">
        <v>29</v>
      </c>
      <c r="B7" s="15"/>
      <c r="C7" s="15"/>
      <c r="D7" s="15"/>
      <c r="E7" s="15"/>
      <c r="F7" s="15"/>
    </row>
    <row r="8">
      <c r="A8" s="11" t="s">
        <v>32</v>
      </c>
      <c r="B8" s="15"/>
      <c r="C8" s="15"/>
      <c r="D8" s="15"/>
      <c r="E8" s="15"/>
      <c r="F8" s="15"/>
    </row>
    <row r="9">
      <c r="A9" s="11" t="s">
        <v>33</v>
      </c>
      <c r="B9" s="15"/>
      <c r="C9" s="15"/>
      <c r="D9" s="15"/>
      <c r="E9" s="15"/>
      <c r="F9" s="15"/>
    </row>
    <row r="10">
      <c r="A10" s="11" t="s">
        <v>34</v>
      </c>
      <c r="B10" s="15"/>
      <c r="C10" s="15"/>
      <c r="D10" s="15"/>
      <c r="E10" s="15"/>
      <c r="F10" s="15"/>
    </row>
    <row r="11">
      <c r="A11" s="11" t="s">
        <v>35</v>
      </c>
      <c r="B11" s="15"/>
      <c r="C11" s="15"/>
      <c r="D11" s="15"/>
      <c r="E11" s="15"/>
      <c r="F11" s="15"/>
    </row>
    <row r="12">
      <c r="A12" s="11" t="s">
        <v>36</v>
      </c>
      <c r="B12" s="15"/>
      <c r="C12" s="15"/>
      <c r="D12" s="15"/>
      <c r="E12" s="15"/>
      <c r="F12" s="15"/>
    </row>
    <row r="13">
      <c r="A13" s="11" t="s">
        <v>43</v>
      </c>
      <c r="B13" s="15"/>
      <c r="C13" s="15"/>
      <c r="D13" s="15"/>
      <c r="E13" s="15"/>
      <c r="F13" s="15"/>
    </row>
    <row r="14">
      <c r="A14" s="6" t="s">
        <v>48</v>
      </c>
      <c r="B14" s="16">
        <f t="shared" ref="B14:F14" si="1">SUM(B6:B13)</f>
        <v>0</v>
      </c>
      <c r="C14" s="16">
        <f t="shared" si="1"/>
        <v>0</v>
      </c>
      <c r="D14" s="16">
        <f t="shared" si="1"/>
        <v>0</v>
      </c>
      <c r="E14" s="16">
        <f t="shared" si="1"/>
        <v>0</v>
      </c>
      <c r="F14" s="16">
        <f t="shared" si="1"/>
        <v>0</v>
      </c>
      <c r="G14" s="16">
        <f>SUM(B14:F14)</f>
        <v>0</v>
      </c>
    </row>
    <row r="15">
      <c r="A15" s="11" t="s">
        <v>49</v>
      </c>
      <c r="B15" s="15"/>
      <c r="C15" s="15"/>
      <c r="D15" s="15"/>
      <c r="E15" s="15"/>
      <c r="F15" s="15"/>
    </row>
    <row r="16">
      <c r="A16" s="11" t="s">
        <v>50</v>
      </c>
      <c r="B16" s="19"/>
      <c r="C16" s="19"/>
      <c r="D16" s="19"/>
      <c r="E16" s="19"/>
      <c r="F16" s="19"/>
    </row>
    <row r="17">
      <c r="A17" s="11" t="s">
        <v>54</v>
      </c>
      <c r="B17" s="19"/>
      <c r="C17" s="19"/>
      <c r="D17" s="19"/>
      <c r="E17" s="19"/>
      <c r="F17" s="19"/>
    </row>
    <row r="18">
      <c r="A18" s="11" t="s">
        <v>56</v>
      </c>
      <c r="B18" s="15"/>
      <c r="C18" s="15"/>
      <c r="D18" s="15"/>
      <c r="E18" s="15"/>
      <c r="F18" s="15"/>
    </row>
    <row r="19">
      <c r="A19" s="5" t="s">
        <v>58</v>
      </c>
      <c r="B19" s="2"/>
      <c r="C19" s="2"/>
      <c r="D19" s="2"/>
      <c r="E19" s="2"/>
      <c r="F19" s="2"/>
      <c r="G19" s="3"/>
    </row>
    <row r="20">
      <c r="A20" s="11" t="s">
        <v>62</v>
      </c>
      <c r="B20" s="22">
        <v>0.0</v>
      </c>
      <c r="C20" s="23"/>
      <c r="D20" s="23"/>
      <c r="E20" s="23"/>
      <c r="F20" s="23"/>
    </row>
    <row r="21" ht="15.75" customHeight="1">
      <c r="A21" s="11" t="s">
        <v>68</v>
      </c>
      <c r="B21" s="22">
        <v>0.0</v>
      </c>
      <c r="C21" s="23"/>
      <c r="D21" s="23"/>
      <c r="E21" s="23"/>
      <c r="F21" s="23"/>
    </row>
    <row r="22" ht="15.75" customHeight="1">
      <c r="A22" s="11" t="s">
        <v>72</v>
      </c>
      <c r="B22" s="22">
        <v>0.0</v>
      </c>
      <c r="C22" s="23"/>
      <c r="D22" s="23"/>
      <c r="E22" s="23"/>
      <c r="F22" s="23"/>
    </row>
    <row r="23" ht="15.75" customHeight="1">
      <c r="A23" s="11" t="s">
        <v>75</v>
      </c>
      <c r="B23" s="23">
        <v>0.0</v>
      </c>
      <c r="C23" s="23"/>
      <c r="D23" s="23"/>
      <c r="E23" s="23"/>
      <c r="F23" s="23"/>
    </row>
    <row r="24" ht="15.75" customHeight="1">
      <c r="A24" s="11" t="s">
        <v>79</v>
      </c>
      <c r="B24" s="22">
        <v>0.0</v>
      </c>
      <c r="C24" s="23"/>
      <c r="D24" s="23"/>
      <c r="E24" s="23"/>
      <c r="F24" s="23"/>
    </row>
    <row r="25" ht="15.75" customHeight="1">
      <c r="A25" s="5" t="s">
        <v>83</v>
      </c>
      <c r="B25" s="2"/>
      <c r="C25" s="2"/>
      <c r="D25" s="2"/>
      <c r="E25" s="2"/>
      <c r="F25" s="2"/>
      <c r="G25" s="3"/>
    </row>
    <row r="26" ht="15.75" customHeight="1">
      <c r="A26" s="11" t="s">
        <v>87</v>
      </c>
      <c r="B26" s="29">
        <f>B6*IF(B6&lt;='PARÂMETROS'!$B$17,'PARÂMETROS'!$E$17,IF(B6&lt;='PARÂMETROS'!$C$17,'PARÂMETROS'!$F$17,IF(B6&lt;='PARÂMETROS'!$D$17,'PARÂMETROS'!$G$17,'PARÂMETROS'!$H$17)))</f>
        <v>0</v>
      </c>
      <c r="C26" s="29">
        <f>C6*IF(C6&lt;='PARÂMETROS'!$B$17,'PARÂMETROS'!$E$17,IF(C6&lt;='PARÂMETROS'!$C$17,'PARÂMETROS'!$F$17,IF(C6&lt;='PARÂMETROS'!$D$17,'PARÂMETROS'!$G$17,'PARÂMETROS'!$H$17)))</f>
        <v>0</v>
      </c>
      <c r="D26" s="29">
        <f>D6*IF(D6&lt;='PARÂMETROS'!$B$17,'PARÂMETROS'!$E$17,IF(D6&lt;='PARÂMETROS'!$C$17,'PARÂMETROS'!$F$17,IF(D6&lt;='PARÂMETROS'!$D$17,'PARÂMETROS'!$G$17,'PARÂMETROS'!$H$17)))</f>
        <v>0</v>
      </c>
      <c r="E26" s="29">
        <f>E6*IF(E6&lt;='PARÂMETROS'!$B$17,'PARÂMETROS'!$E$17,IF(E6&lt;='PARÂMETROS'!$C$17,'PARÂMETROS'!$F$17,IF(E6&lt;='PARÂMETROS'!$D$17,'PARÂMETROS'!$G$17,'PARÂMETROS'!$H$17)))</f>
        <v>0</v>
      </c>
      <c r="F26" s="29">
        <f>F6*IF(F6&lt;='PARÂMETROS'!$B$17,'PARÂMETROS'!$E$17,IF(F6&lt;='PARÂMETROS'!$C$17,'PARÂMETROS'!$F$17,IF(F6&lt;='PARÂMETROS'!$D$17,'PARÂMETROS'!$G$17,'PARÂMETROS'!$H$17)))</f>
        <v>0</v>
      </c>
    </row>
    <row r="27" ht="15.75" customHeight="1">
      <c r="A27" s="11" t="s">
        <v>90</v>
      </c>
      <c r="B27" s="29">
        <f>B7*IF(B7&lt;='PARÂMETROS'!$B$18,'PARÂMETROS'!$E$18,IF(B7&lt;='PARÂMETROS'!$C$18,'PARÂMETROS'!$F$18,IF(B7&lt;='PARÂMETROS'!$D$18,'PARÂMETROS'!$G$18,'PARÂMETROS'!$H$18)))</f>
        <v>0</v>
      </c>
      <c r="C27" s="29">
        <f>C7*IF(C7&lt;='PARÂMETROS'!$B$18,'PARÂMETROS'!$E$18,IF(C7&lt;='PARÂMETROS'!$C$18,'PARÂMETROS'!$F$18,IF(C7&lt;='PARÂMETROS'!$D$18,'PARÂMETROS'!$G$18,'PARÂMETROS'!$H$18)))</f>
        <v>0</v>
      </c>
      <c r="D27" s="29">
        <f>D7*IF(D7&lt;='PARÂMETROS'!$B$18,'PARÂMETROS'!$E$18,IF(D7&lt;='PARÂMETROS'!$C$18,'PARÂMETROS'!$F$18,IF(D7&lt;='PARÂMETROS'!$D$18,'PARÂMETROS'!$G$18,'PARÂMETROS'!$H$18)))</f>
        <v>0</v>
      </c>
      <c r="E27" s="29">
        <f>E7*IF(E7&lt;='PARÂMETROS'!$B$18,'PARÂMETROS'!$E$18,IF(E7&lt;='PARÂMETROS'!$C$18,'PARÂMETROS'!$F$18,IF(E7&lt;='PARÂMETROS'!$D$18,'PARÂMETROS'!$G$18,'PARÂMETROS'!$H$18)))</f>
        <v>0</v>
      </c>
      <c r="F27" s="29">
        <f>F7*IF(F7&lt;='PARÂMETROS'!$B$18,'PARÂMETROS'!$E$18,IF(F7&lt;='PARÂMETROS'!$C$18,'PARÂMETROS'!$F$18,IF(F7&lt;='PARÂMETROS'!$D$18,'PARÂMETROS'!$G$18,'PARÂMETROS'!$H$18)))</f>
        <v>0</v>
      </c>
    </row>
    <row r="28" ht="15.75" customHeight="1">
      <c r="A28" s="11" t="s">
        <v>91</v>
      </c>
      <c r="B28" s="29">
        <f>B8*IF(B8&lt;='PARÂMETROS'!$B$19,'PARÂMETROS'!$E$19,IF(B8&lt;='PARÂMETROS'!$C$19,'PARÂMETROS'!$F$19,IF(B8&lt;='PARÂMETROS'!$D$19,'PARÂMETROS'!$G$19,'PARÂMETROS'!$H$19)))</f>
        <v>0</v>
      </c>
      <c r="C28" s="29">
        <f>C8*IF(C8&lt;='PARÂMETROS'!$B$19,'PARÂMETROS'!$E$19,IF(C8&lt;='PARÂMETROS'!$C$19,'PARÂMETROS'!$F$19,IF(C8&lt;='PARÂMETROS'!$D$19,'PARÂMETROS'!$G$19,'PARÂMETROS'!$H$19)))</f>
        <v>0</v>
      </c>
      <c r="D28" s="29">
        <f>D8*IF(D8&lt;='PARÂMETROS'!$B$19,'PARÂMETROS'!$E$19,IF(D8&lt;='PARÂMETROS'!$C$19,'PARÂMETROS'!$F$19,IF(D8&lt;='PARÂMETROS'!$D$19,'PARÂMETROS'!$G$19,'PARÂMETROS'!$H$19)))</f>
        <v>0</v>
      </c>
      <c r="E28" s="29">
        <f>E8*IF(E8&lt;='PARÂMETROS'!$B$19,'PARÂMETROS'!$E$19,IF(E8&lt;='PARÂMETROS'!$C$19,'PARÂMETROS'!$F$19,IF(E8&lt;='PARÂMETROS'!$D$19,'PARÂMETROS'!$G$19,'PARÂMETROS'!$H$19)))</f>
        <v>0</v>
      </c>
      <c r="F28" s="29">
        <f>F8*IF(F8&lt;='PARÂMETROS'!$B$19,'PARÂMETROS'!$E$19,IF(F8&lt;='PARÂMETROS'!$C$19,'PARÂMETROS'!$F$19,IF(F8&lt;='PARÂMETROS'!$D$19,'PARÂMETROS'!$G$19,'PARÂMETROS'!$H$19)))</f>
        <v>0</v>
      </c>
    </row>
    <row r="29" ht="15.75" customHeight="1">
      <c r="A29" s="11" t="s">
        <v>92</v>
      </c>
      <c r="B29" s="29">
        <f>(B9+B13)*IF((B9+B13)&lt;='PARÂMETROS'!$B$20,'PARÂMETROS'!$E$20,IF((B9+B13)&lt;='PARÂMETROS'!$C$20,'PARÂMETROS'!$F$20,IF((B9+B13)&lt;='PARÂMETROS'!$D$20,'PARÂMETROS'!$G$20,'PARÂMETROS'!$H$20)))</f>
        <v>0</v>
      </c>
      <c r="C29" s="29">
        <f>(C9+C13)*IF((C9+C13)&lt;='PARÂMETROS'!$B$20,'PARÂMETROS'!$E$20,IF((C9+C13)&lt;='PARÂMETROS'!$C$20,'PARÂMETROS'!$F$20,IF((C9+C13)&lt;='PARÂMETROS'!$D$20,'PARÂMETROS'!$G$20,'PARÂMETROS'!$H$20)))</f>
        <v>0</v>
      </c>
      <c r="D29" s="29">
        <f>(D9+D13)*IF((D9+D13)&lt;='PARÂMETROS'!$B$20,'PARÂMETROS'!$E$20,IF((D9+D13)&lt;='PARÂMETROS'!$C$20,'PARÂMETROS'!$F$20,IF((D9+D13)&lt;='PARÂMETROS'!$D$20,'PARÂMETROS'!$G$20,'PARÂMETROS'!$H$20)))</f>
        <v>0</v>
      </c>
      <c r="E29" s="29">
        <f>(E9+E13)*IF((E9+E13)&lt;='PARÂMETROS'!$B$20,'PARÂMETROS'!$E$20,IF((E9+E13)&lt;='PARÂMETROS'!$C$20,'PARÂMETROS'!$F$20,IF((E9+E13)&lt;='PARÂMETROS'!$D$20,'PARÂMETROS'!$G$20,'PARÂMETROS'!$H$20)))</f>
        <v>0</v>
      </c>
      <c r="F29" s="29">
        <f>(F9+F13)*IF((F9+F13)&lt;='PARÂMETROS'!$B$20,'PARÂMETROS'!$E$20,IF((F9+F13)&lt;='PARÂMETROS'!$C$20,'PARÂMETROS'!$F$20,IF((F9+F13)&lt;='PARÂMETROS'!$D$20,'PARÂMETROS'!$G$20,'PARÂMETROS'!$H$20)))</f>
        <v>0</v>
      </c>
    </row>
    <row r="30" ht="15.75" customHeight="1">
      <c r="A30" s="11" t="s">
        <v>93</v>
      </c>
      <c r="B30" s="29">
        <f>B10*IF(B10&lt;='PARÂMETROS'!$B$21,'PARÂMETROS'!$E$21,IF(B10&lt;='PARÂMETROS'!$C$21,'PARÂMETROS'!$F$21,IF(B10&lt;='PARÂMETROS'!$D$21,'PARÂMETROS'!$G$21,'PARÂMETROS'!$H$21)))</f>
        <v>0</v>
      </c>
      <c r="C30" s="29">
        <f>C10*IF(C10&lt;='PARÂMETROS'!$B$21,'PARÂMETROS'!$E$21,IF(C10&lt;='PARÂMETROS'!$C$21,'PARÂMETROS'!$F$21,IF(C10&lt;='PARÂMETROS'!$D$21,'PARÂMETROS'!$G$21,'PARÂMETROS'!$H$21)))</f>
        <v>0</v>
      </c>
      <c r="D30" s="29">
        <f>D10*IF(D10&lt;='PARÂMETROS'!$B$21,'PARÂMETROS'!$E$21,IF(D10&lt;='PARÂMETROS'!$C$21,'PARÂMETROS'!$F$21,IF(D10&lt;='PARÂMETROS'!$D$21,'PARÂMETROS'!$G$21,'PARÂMETROS'!$H$21)))</f>
        <v>0</v>
      </c>
      <c r="E30" s="29">
        <f>E10*IF(E10&lt;='PARÂMETROS'!$B$21,'PARÂMETROS'!$E$21,IF(E10&lt;='PARÂMETROS'!$C$21,'PARÂMETROS'!$F$21,IF(E10&lt;='PARÂMETROS'!$D$21,'PARÂMETROS'!$G$21,'PARÂMETROS'!$H$21)))</f>
        <v>0</v>
      </c>
      <c r="F30" s="29">
        <f>F10*IF(F10&lt;='PARÂMETROS'!$B$21,'PARÂMETROS'!$E$21,IF(F10&lt;='PARÂMETROS'!$C$21,'PARÂMETROS'!$F$21,IF(F10&lt;='PARÂMETROS'!$D$21,'PARÂMETROS'!$G$21,'PARÂMETROS'!$H$21)))</f>
        <v>0</v>
      </c>
    </row>
    <row r="31" ht="15.75" customHeight="1">
      <c r="A31" s="11" t="s">
        <v>94</v>
      </c>
      <c r="B31" s="29">
        <f>B11*IF(B11&lt;='PARÂMETROS'!$B$22,'PARÂMETROS'!$E$22,IF(B11&lt;='PARÂMETROS'!$C$22,'PARÂMETROS'!$F$22,IF(B11&lt;='PARÂMETROS'!$D$22,'PARÂMETROS'!$G$22,'PARÂMETROS'!$H$22)))</f>
        <v>0</v>
      </c>
      <c r="C31" s="29">
        <f>C11*IF(C11&lt;='PARÂMETROS'!$B$22,'PARÂMETROS'!$E$22,IF(C11&lt;='PARÂMETROS'!$C$22,'PARÂMETROS'!$F$22,IF(C11&lt;='PARÂMETROS'!$D$22,'PARÂMETROS'!$G$22,'PARÂMETROS'!$H$22)))</f>
        <v>0</v>
      </c>
      <c r="D31" s="29">
        <f>D11*IF(D11&lt;='PARÂMETROS'!$B$22,'PARÂMETROS'!$E$22,IF(D11&lt;='PARÂMETROS'!$C$22,'PARÂMETROS'!$F$22,IF(D11&lt;='PARÂMETROS'!$D$22,'PARÂMETROS'!$G$22,'PARÂMETROS'!$H$22)))</f>
        <v>0</v>
      </c>
      <c r="E31" s="29">
        <f>E11*IF(E11&lt;='PARÂMETROS'!$B$22,'PARÂMETROS'!$E$22,IF(E11&lt;='PARÂMETROS'!$C$22,'PARÂMETROS'!$F$22,IF(E11&lt;='PARÂMETROS'!$D$22,'PARÂMETROS'!$G$22,'PARÂMETROS'!$H$22)))</f>
        <v>0</v>
      </c>
      <c r="F31" s="29">
        <f>F11*IF(F11&lt;='PARÂMETROS'!$B$22,'PARÂMETROS'!$E$22,IF(F11&lt;='PARÂMETROS'!$C$22,'PARÂMETROS'!$F$22,IF(F11&lt;='PARÂMETROS'!$D$22,'PARÂMETROS'!$G$22,'PARÂMETROS'!$H$22)))</f>
        <v>0</v>
      </c>
    </row>
    <row r="32" ht="15.75" customHeight="1">
      <c r="A32" s="11" t="s">
        <v>95</v>
      </c>
      <c r="B32" s="29">
        <f>B12*IF(B12&lt;='PARÂMETROS'!$B$23,'PARÂMETROS'!$E$23,IF(B12&lt;='PARÂMETROS'!$C$23,'PARÂMETROS'!$F$23,IF(B12&lt;='PARÂMETROS'!$D$23,'PARÂMETROS'!$G$23,'PARÂMETROS'!$H$23)))</f>
        <v>0</v>
      </c>
      <c r="C32" s="29">
        <f>C12*IF(C12&lt;='PARÂMETROS'!$B$23,'PARÂMETROS'!$E$23,IF(C12&lt;='PARÂMETROS'!$C$23,'PARÂMETROS'!$F$23,IF(C12&lt;='PARÂMETROS'!$D$23,'PARÂMETROS'!$G$23,'PARÂMETROS'!$H$23)))</f>
        <v>0</v>
      </c>
      <c r="D32" s="29">
        <f>D12*IF(D12&lt;='PARÂMETROS'!$B$23,'PARÂMETROS'!$E$23,IF(D12&lt;='PARÂMETROS'!$C$23,'PARÂMETROS'!$F$23,IF(D12&lt;='PARÂMETROS'!$D$23,'PARÂMETROS'!$G$23,'PARÂMETROS'!$H$23)))</f>
        <v>0</v>
      </c>
      <c r="E32" s="29">
        <f>E12*IF(E12&lt;='PARÂMETROS'!$B$23,'PARÂMETROS'!$E$23,IF(E12&lt;='PARÂMETROS'!$C$23,'PARÂMETROS'!$F$23,IF(E12&lt;='PARÂMETROS'!$D$23,'PARÂMETROS'!$G$23,'PARÂMETROS'!$H$23)))</f>
        <v>0</v>
      </c>
      <c r="F32" s="29">
        <f>F12*IF(F12&lt;='PARÂMETROS'!$B$23,'PARÂMETROS'!$E$23,IF(F12&lt;='PARÂMETROS'!$C$23,'PARÂMETROS'!$F$23,IF(F12&lt;='PARÂMETROS'!$D$23,'PARÂMETROS'!$G$23,'PARÂMETROS'!$H$23)))</f>
        <v>0</v>
      </c>
    </row>
    <row r="33" ht="15.75" customHeight="1">
      <c r="A33" s="30" t="s">
        <v>96</v>
      </c>
      <c r="B33" s="31">
        <f t="shared" ref="B33:F33" si="2">SUM(B26:B32)</f>
        <v>0</v>
      </c>
      <c r="C33" s="31">
        <f t="shared" si="2"/>
        <v>0</v>
      </c>
      <c r="D33" s="31">
        <f t="shared" si="2"/>
        <v>0</v>
      </c>
      <c r="E33" s="31">
        <f t="shared" si="2"/>
        <v>0</v>
      </c>
      <c r="F33" s="31">
        <f t="shared" si="2"/>
        <v>0</v>
      </c>
      <c r="G33" s="31">
        <f>SUM(B33:F33)</f>
        <v>0</v>
      </c>
    </row>
    <row r="34" ht="15.75" customHeight="1">
      <c r="A34" s="5" t="s">
        <v>97</v>
      </c>
      <c r="B34" s="2"/>
      <c r="C34" s="2"/>
      <c r="D34" s="2"/>
      <c r="E34" s="2"/>
      <c r="F34" s="2"/>
      <c r="G34" s="3"/>
    </row>
    <row r="35" ht="15.75" customHeight="1">
      <c r="A35" s="11" t="s">
        <v>98</v>
      </c>
      <c r="B35" s="29">
        <f>'PARÂMETROS'!B13</f>
        <v>49500</v>
      </c>
      <c r="C35" s="29">
        <f>'PARÂMETROS'!C13</f>
        <v>32500</v>
      </c>
      <c r="D35" s="29">
        <f>'PARÂMETROS'!D13</f>
        <v>29000</v>
      </c>
      <c r="E35" s="29">
        <f>'PARÂMETROS'!E13</f>
        <v>0</v>
      </c>
      <c r="F35" s="29">
        <f>'PARÂMETROS'!F13</f>
        <v>0</v>
      </c>
    </row>
    <row r="36" ht="15.75" customHeight="1">
      <c r="A36" s="11" t="s">
        <v>99</v>
      </c>
      <c r="B36" s="32">
        <f t="shared" ref="B36:F36" si="3">IFERROR(B14/B35,0)</f>
        <v>0</v>
      </c>
      <c r="C36" s="32">
        <f t="shared" si="3"/>
        <v>0</v>
      </c>
      <c r="D36" s="32">
        <f t="shared" si="3"/>
        <v>0</v>
      </c>
      <c r="E36" s="32">
        <f t="shared" si="3"/>
        <v>0</v>
      </c>
      <c r="F36" s="32">
        <f t="shared" si="3"/>
        <v>0</v>
      </c>
    </row>
    <row r="37" ht="15.75" customHeight="1">
      <c r="A37" s="11" t="s">
        <v>100</v>
      </c>
      <c r="B37" s="33">
        <f>IFERROR(VLOOKUP(B36,'PARÂMETROS'!$A$27:$B$32,2,TRUE()),0)</f>
        <v>0</v>
      </c>
      <c r="C37" s="33">
        <f>IFERROR(VLOOKUP(C36,'PARÂMETROS'!$A$27:$B$32,2,TRUE()),0)</f>
        <v>0</v>
      </c>
      <c r="D37" s="33">
        <f>IFERROR(VLOOKUP(D36,'PARÂMETROS'!$A$27:$B$32,2,TRUE()),0)</f>
        <v>0</v>
      </c>
      <c r="E37" s="33">
        <f>IFERROR(VLOOKUP(E36,'PARÂMETROS'!$A$27:$B$32,2,TRUE()),0)</f>
        <v>0</v>
      </c>
      <c r="F37" s="33">
        <f>IFERROR(VLOOKUP(F36,'PARÂMETROS'!$A$27:$B$32,2,TRUE()),0)</f>
        <v>0</v>
      </c>
    </row>
    <row r="38" ht="15.75" customHeight="1">
      <c r="A38" s="11" t="s">
        <v>101</v>
      </c>
      <c r="B38" s="32">
        <f>'PARÂMETROS'!$B$63</f>
        <v>0</v>
      </c>
      <c r="C38" s="32">
        <f>'PARÂMETROS'!$B$63</f>
        <v>0</v>
      </c>
      <c r="D38" s="32">
        <f>'PARÂMETROS'!$B$63</f>
        <v>0</v>
      </c>
      <c r="E38" s="32">
        <f>'PARÂMETROS'!$B$63</f>
        <v>0</v>
      </c>
      <c r="F38" s="32">
        <f>'PARÂMETROS'!$B$63</f>
        <v>0</v>
      </c>
    </row>
    <row r="39" ht="15.75" customHeight="1">
      <c r="A39" s="11" t="s">
        <v>102</v>
      </c>
      <c r="B39" s="33">
        <f>IFERROR(VLOOKUP(B38,'PARÂMETROS'!$A$36:$B$39,2,TRUE()),0)</f>
        <v>0</v>
      </c>
      <c r="C39" s="33">
        <f>IFERROR(VLOOKUP(C38,'PARÂMETROS'!$A$36:$B$39,2,TRUE()),0)</f>
        <v>0</v>
      </c>
      <c r="D39" s="33">
        <f>IFERROR(VLOOKUP(D38,'PARÂMETROS'!$A$36:$B$39,2,TRUE()),0)</f>
        <v>0</v>
      </c>
      <c r="E39" s="33">
        <f>IFERROR(VLOOKUP(E38,'PARÂMETROS'!$A$36:$B$39,2,TRUE()),0)</f>
        <v>0</v>
      </c>
      <c r="F39" s="33">
        <f>IFERROR(VLOOKUP(F38,'PARÂMETROS'!$A$36:$B$39,2,TRUE()),0)</f>
        <v>0</v>
      </c>
    </row>
    <row r="40" ht="15.75" customHeight="1">
      <c r="A40" s="11" t="s">
        <v>103</v>
      </c>
      <c r="B40" s="34">
        <v>0.0</v>
      </c>
      <c r="C40" s="33">
        <f>MIN(20,MAX(0,MIN('PARÂMETROS'!$B$44,'PARÂMETROS'!$B$44*('PARÂMETROS'!$B$43-C16)/('PARÂMETROS'!$B$43-'PARÂMETROS'!$B$42)))+IF('PARÂMETROS'!$B$65&gt;='PARÂMETROS'!$B$45,'PARÂMETROS'!$B$46,0)+IF(C17&gt;='PARÂMETROS'!$B$47,'PARÂMETROS'!$B$48,0))</f>
        <v>6</v>
      </c>
      <c r="D40" s="33">
        <f>MIN(20,MAX(0,MIN('PARÂMETROS'!$B$44,'PARÂMETROS'!$B$44*('PARÂMETROS'!$B$43-D16)/('PARÂMETROS'!$B$43-'PARÂMETROS'!$B$42)))+IF('PARÂMETROS'!$B$65&gt;='PARÂMETROS'!$B$45,'PARÂMETROS'!$B$46,0)+IF(D17&gt;='PARÂMETROS'!$B$47,'PARÂMETROS'!$B$48,0))</f>
        <v>6</v>
      </c>
      <c r="E40" s="33">
        <f>MIN(20,MAX(0,MIN('PARÂMETROS'!$B$44,'PARÂMETROS'!$B$44*('PARÂMETROS'!$B$43-E16)/('PARÂMETROS'!$B$43-'PARÂMETROS'!$B$42)))+IF('PARÂMETROS'!$B$65&gt;='PARÂMETROS'!$B$45,'PARÂMETROS'!$B$46,0)+IF(E17&gt;='PARÂMETROS'!$B$47,'PARÂMETROS'!$B$48,0))</f>
        <v>6</v>
      </c>
      <c r="F40" s="33">
        <f>MIN(20,MAX(0,MIN('PARÂMETROS'!$B$44,'PARÂMETROS'!$B$44*('PARÂMETROS'!$B$43-F16)/('PARÂMETROS'!$B$43-'PARÂMETROS'!$B$42)))+IF('PARÂMETROS'!$B$65&gt;='PARÂMETROS'!$B$45,'PARÂMETROS'!$B$46,0)+IF(F17&gt;='PARÂMETROS'!$B$47,'PARÂMETROS'!$B$48,0))</f>
        <v>6</v>
      </c>
    </row>
    <row r="41" ht="15.75" customHeight="1">
      <c r="A41" s="11" t="s">
        <v>104</v>
      </c>
      <c r="B41" s="33">
        <f t="shared" ref="B41:F41" si="4">MIN(10,SUM(B20:B24)*2)</f>
        <v>0</v>
      </c>
      <c r="C41" s="33">
        <f t="shared" si="4"/>
        <v>0</v>
      </c>
      <c r="D41" s="33">
        <f t="shared" si="4"/>
        <v>0</v>
      </c>
      <c r="E41" s="33">
        <f t="shared" si="4"/>
        <v>0</v>
      </c>
      <c r="F41" s="33">
        <f t="shared" si="4"/>
        <v>0</v>
      </c>
    </row>
    <row r="42" ht="15.75" customHeight="1">
      <c r="A42" s="6" t="s">
        <v>105</v>
      </c>
      <c r="B42" s="35">
        <f t="shared" ref="B42:F42" si="5">MIN(100,B37+B39+B40+B41)</f>
        <v>0</v>
      </c>
      <c r="C42" s="35">
        <f t="shared" si="5"/>
        <v>6</v>
      </c>
      <c r="D42" s="35">
        <f t="shared" si="5"/>
        <v>6</v>
      </c>
      <c r="E42" s="35">
        <f t="shared" si="5"/>
        <v>6</v>
      </c>
      <c r="F42" s="35">
        <f t="shared" si="5"/>
        <v>6</v>
      </c>
    </row>
    <row r="43" ht="15.75" customHeight="1">
      <c r="A43" s="13" t="s">
        <v>70</v>
      </c>
      <c r="B43" s="36" t="str">
        <f>IFERROR(VLOOKUP(B42,'PARÂMETROS'!$A$52:$C$57,2,TRUE()),"")</f>
        <v>Em desenvolvimento</v>
      </c>
      <c r="C43" s="36" t="str">
        <f>IFERROR(VLOOKUP(C42,'PARÂMETROS'!$A$52:$C$57,2,TRUE()),"")</f>
        <v>Em desenvolvimento</v>
      </c>
      <c r="D43" s="36" t="str">
        <f>IFERROR(VLOOKUP(D42,'PARÂMETROS'!$A$52:$C$57,2,TRUE()),"")</f>
        <v>Em desenvolvimento</v>
      </c>
      <c r="E43" s="36" t="str">
        <f>IFERROR(VLOOKUP(E42,'PARÂMETROS'!$A$52:$C$57,2,TRUE()),"")</f>
        <v>Em desenvolvimento</v>
      </c>
      <c r="F43" s="36" t="str">
        <f>IFERROR(VLOOKUP(F42,'PARÂMETROS'!$A$52:$C$57,2,TRUE()),"")</f>
        <v>Em desenvolvimento</v>
      </c>
    </row>
    <row r="44" ht="15.75" customHeight="1">
      <c r="A44" s="13" t="s">
        <v>71</v>
      </c>
      <c r="B44" s="37">
        <f>IFERROR(VLOOKUP(B42,'PARÂMETROS'!$A$52:$C$57,3,TRUE()),0)</f>
        <v>0</v>
      </c>
      <c r="C44" s="37">
        <f>IFERROR(VLOOKUP(C42,'PARÂMETROS'!$A$52:$C$57,3,TRUE()),0)</f>
        <v>0</v>
      </c>
      <c r="D44" s="37">
        <f>IFERROR(VLOOKUP(D42,'PARÂMETROS'!$A$52:$C$57,3,TRUE()),0)</f>
        <v>0</v>
      </c>
      <c r="E44" s="37">
        <f>IFERROR(VLOOKUP(E42,'PARÂMETROS'!$A$52:$C$57,3,TRUE()),0)</f>
        <v>0</v>
      </c>
      <c r="F44" s="37">
        <f>IFERROR(VLOOKUP(F42,'PARÂMETROS'!$A$52:$C$57,3,TRUE()),0)</f>
        <v>0</v>
      </c>
    </row>
    <row r="45" ht="15.75" customHeight="1">
      <c r="A45" s="38" t="s">
        <v>106</v>
      </c>
      <c r="B45" s="2"/>
      <c r="C45" s="2"/>
      <c r="D45" s="2"/>
      <c r="E45" s="2"/>
      <c r="F45" s="2"/>
      <c r="G45" s="3"/>
    </row>
    <row r="46" ht="15.75" customHeight="1">
      <c r="A46" s="11" t="s">
        <v>107</v>
      </c>
      <c r="B46" s="29">
        <f t="shared" ref="B46:F46" si="6">B33*B44</f>
        <v>0</v>
      </c>
      <c r="C46" s="29">
        <f t="shared" si="6"/>
        <v>0</v>
      </c>
      <c r="D46" s="29">
        <f t="shared" si="6"/>
        <v>0</v>
      </c>
      <c r="E46" s="29">
        <f t="shared" si="6"/>
        <v>0</v>
      </c>
      <c r="F46" s="29">
        <f t="shared" si="6"/>
        <v>0</v>
      </c>
      <c r="G46" s="29">
        <f t="shared" ref="G46:G49" si="7">SUM(B46:F46)</f>
        <v>0</v>
      </c>
    </row>
    <row r="47" ht="15.75" customHeight="1">
      <c r="A47" s="11" t="s">
        <v>108</v>
      </c>
      <c r="B47" s="29">
        <f>IF('PARÂMETROS'!$B$63&gt;=1,'PARÂMETROS'!$B$60,0)</f>
        <v>0</v>
      </c>
      <c r="C47" s="29">
        <f>IF('PARÂMETROS'!$B$63&gt;=1,'PARÂMETROS'!$B$60,0)</f>
        <v>0</v>
      </c>
      <c r="D47" s="29">
        <f>IF('PARÂMETROS'!$B$63&gt;=1,'PARÂMETROS'!$B$60,0)</f>
        <v>0</v>
      </c>
      <c r="E47" s="29">
        <f>IF('PARÂMETROS'!$B$63&gt;=1,'PARÂMETROS'!$B$60,0)</f>
        <v>0</v>
      </c>
      <c r="F47" s="29">
        <f>IF('PARÂMETROS'!$B$63&gt;=1,'PARÂMETROS'!$B$60,0)</f>
        <v>0</v>
      </c>
      <c r="G47" s="29">
        <f t="shared" si="7"/>
        <v>0</v>
      </c>
    </row>
    <row r="48" ht="15.75" customHeight="1">
      <c r="A48" s="39" t="s">
        <v>109</v>
      </c>
      <c r="B48" s="40">
        <f t="shared" ref="B48:F48" si="8">B46+B47</f>
        <v>0</v>
      </c>
      <c r="C48" s="40">
        <f t="shared" si="8"/>
        <v>0</v>
      </c>
      <c r="D48" s="40">
        <f t="shared" si="8"/>
        <v>0</v>
      </c>
      <c r="E48" s="40">
        <f t="shared" si="8"/>
        <v>0</v>
      </c>
      <c r="F48" s="40">
        <f t="shared" si="8"/>
        <v>0</v>
      </c>
      <c r="G48" s="40">
        <f t="shared" si="7"/>
        <v>0</v>
      </c>
    </row>
    <row r="49" ht="15.75" customHeight="1">
      <c r="A49" s="41" t="s">
        <v>110</v>
      </c>
      <c r="B49" s="42">
        <f t="shared" ref="B49:F49" si="9">B33*MAX(1,B44)+B47</f>
        <v>0</v>
      </c>
      <c r="C49" s="42">
        <f t="shared" si="9"/>
        <v>0</v>
      </c>
      <c r="D49" s="42">
        <f t="shared" si="9"/>
        <v>0</v>
      </c>
      <c r="E49" s="42">
        <f t="shared" si="9"/>
        <v>0</v>
      </c>
      <c r="F49" s="42">
        <f t="shared" si="9"/>
        <v>0</v>
      </c>
      <c r="G49" s="42">
        <f t="shared" si="7"/>
        <v>0</v>
      </c>
    </row>
    <row r="50" ht="15.75" customHeight="1">
      <c r="A50" s="11"/>
    </row>
    <row r="51" ht="15.75" customHeight="1">
      <c r="A51" s="13" t="s">
        <v>111</v>
      </c>
      <c r="B51" s="43">
        <f t="shared" ref="B51:F51" si="10">B48-B18</f>
        <v>0</v>
      </c>
      <c r="C51" s="43">
        <f t="shared" si="10"/>
        <v>0</v>
      </c>
      <c r="D51" s="43">
        <f t="shared" si="10"/>
        <v>0</v>
      </c>
      <c r="E51" s="43">
        <f t="shared" si="10"/>
        <v>0</v>
      </c>
      <c r="F51" s="43">
        <f t="shared" si="10"/>
        <v>0</v>
      </c>
      <c r="G51" s="43">
        <f t="shared" ref="G51:G52" si="12">SUM(B51:F51)</f>
        <v>0</v>
      </c>
    </row>
    <row r="52" ht="15.75" customHeight="1">
      <c r="A52" s="44" t="s">
        <v>112</v>
      </c>
      <c r="B52" s="45">
        <f t="shared" ref="B52:F52" si="11">B49-B18</f>
        <v>0</v>
      </c>
      <c r="C52" s="45">
        <f t="shared" si="11"/>
        <v>0</v>
      </c>
      <c r="D52" s="45">
        <f t="shared" si="11"/>
        <v>0</v>
      </c>
      <c r="E52" s="45">
        <f t="shared" si="11"/>
        <v>0</v>
      </c>
      <c r="F52" s="45">
        <f t="shared" si="11"/>
        <v>0</v>
      </c>
      <c r="G52" s="42">
        <f t="shared" si="12"/>
        <v>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G4"/>
    <mergeCell ref="A19:G19"/>
    <mergeCell ref="A25:G25"/>
    <mergeCell ref="A34:G34"/>
    <mergeCell ref="A45:G4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5.0"/>
    <col customWidth="1" min="4" max="4" width="17.0"/>
    <col customWidth="1" min="5" max="8" width="15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3">
      <c r="A3" s="5" t="s">
        <v>2</v>
      </c>
      <c r="B3" s="2"/>
      <c r="C3" s="2"/>
      <c r="D3" s="2"/>
      <c r="E3" s="2"/>
      <c r="F3" s="2"/>
      <c r="G3" s="2"/>
      <c r="H3" s="3"/>
    </row>
    <row r="4">
      <c r="A4" s="7" t="s">
        <v>5</v>
      </c>
      <c r="B4" s="9" t="s">
        <v>7</v>
      </c>
      <c r="C4" s="9" t="s">
        <v>9</v>
      </c>
      <c r="D4" s="9" t="s">
        <v>11</v>
      </c>
      <c r="E4" s="7" t="s">
        <v>14</v>
      </c>
      <c r="F4" s="7" t="s">
        <v>16</v>
      </c>
    </row>
    <row r="5">
      <c r="A5" s="11" t="s">
        <v>23</v>
      </c>
      <c r="B5" s="12">
        <v>7000.0</v>
      </c>
      <c r="C5" s="12">
        <v>4000.0</v>
      </c>
      <c r="D5" s="12">
        <v>5000.0</v>
      </c>
      <c r="E5" s="14">
        <v>0.0</v>
      </c>
      <c r="F5" s="14">
        <v>0.0</v>
      </c>
    </row>
    <row r="6">
      <c r="A6" s="11" t="s">
        <v>29</v>
      </c>
      <c r="B6" s="12">
        <v>7400.0</v>
      </c>
      <c r="C6" s="12">
        <v>5000.0</v>
      </c>
      <c r="D6" s="12">
        <v>5500.0</v>
      </c>
      <c r="E6" s="14">
        <v>0.0</v>
      </c>
      <c r="F6" s="14">
        <v>0.0</v>
      </c>
    </row>
    <row r="7">
      <c r="A7" s="11" t="s">
        <v>32</v>
      </c>
      <c r="B7" s="12">
        <v>7200.0</v>
      </c>
      <c r="C7" s="12">
        <v>6000.0</v>
      </c>
      <c r="D7" s="12">
        <v>4000.0</v>
      </c>
      <c r="E7" s="14">
        <v>0.0</v>
      </c>
      <c r="F7" s="14">
        <v>0.0</v>
      </c>
    </row>
    <row r="8">
      <c r="A8" s="11" t="s">
        <v>33</v>
      </c>
      <c r="B8" s="12">
        <v>8400.0</v>
      </c>
      <c r="C8" s="12">
        <v>5000.0</v>
      </c>
      <c r="D8" s="12">
        <v>4000.0</v>
      </c>
      <c r="E8" s="14">
        <v>0.0</v>
      </c>
      <c r="F8" s="14">
        <v>0.0</v>
      </c>
    </row>
    <row r="9">
      <c r="A9" s="11" t="s">
        <v>34</v>
      </c>
      <c r="B9" s="12">
        <v>15000.0</v>
      </c>
      <c r="C9" s="12">
        <v>10000.0</v>
      </c>
      <c r="D9" s="12">
        <v>8000.0</v>
      </c>
      <c r="E9" s="14">
        <v>0.0</v>
      </c>
      <c r="F9" s="14">
        <v>0.0</v>
      </c>
    </row>
    <row r="10">
      <c r="A10" s="11" t="s">
        <v>35</v>
      </c>
      <c r="B10" s="12">
        <v>2500.0</v>
      </c>
      <c r="C10" s="12">
        <v>1500.0</v>
      </c>
      <c r="D10" s="12">
        <v>1500.0</v>
      </c>
      <c r="E10" s="14">
        <v>0.0</v>
      </c>
      <c r="F10" s="14">
        <v>0.0</v>
      </c>
    </row>
    <row r="11">
      <c r="A11" s="11" t="s">
        <v>36</v>
      </c>
      <c r="B11" s="12">
        <v>2000.0</v>
      </c>
      <c r="C11" s="12">
        <v>1000.0</v>
      </c>
      <c r="D11" s="12">
        <v>1000.0</v>
      </c>
      <c r="E11" s="14">
        <v>0.0</v>
      </c>
      <c r="F11" s="14">
        <v>0.0</v>
      </c>
    </row>
    <row r="12">
      <c r="A12" s="11" t="s">
        <v>37</v>
      </c>
      <c r="B12" s="12">
        <v>0.0</v>
      </c>
      <c r="C12" s="12">
        <v>0.0</v>
      </c>
      <c r="D12" s="12">
        <v>0.0</v>
      </c>
      <c r="E12" s="14">
        <v>0.0</v>
      </c>
      <c r="F12" s="14">
        <v>0.0</v>
      </c>
    </row>
    <row r="13">
      <c r="A13" s="6" t="s">
        <v>38</v>
      </c>
      <c r="B13" s="16">
        <f t="shared" ref="B13:F13" si="1">SUM(B5:B12)</f>
        <v>49500</v>
      </c>
      <c r="C13" s="16">
        <f t="shared" si="1"/>
        <v>32500</v>
      </c>
      <c r="D13" s="16">
        <f t="shared" si="1"/>
        <v>29000</v>
      </c>
      <c r="E13" s="16">
        <f t="shared" si="1"/>
        <v>0</v>
      </c>
      <c r="F13" s="16">
        <f t="shared" si="1"/>
        <v>0</v>
      </c>
    </row>
    <row r="15">
      <c r="A15" s="5" t="s">
        <v>39</v>
      </c>
      <c r="B15" s="2"/>
      <c r="C15" s="2"/>
      <c r="D15" s="2"/>
      <c r="E15" s="2"/>
      <c r="F15" s="2"/>
      <c r="G15" s="2"/>
      <c r="H15" s="3"/>
    </row>
    <row r="16">
      <c r="A16" s="7" t="s">
        <v>5</v>
      </c>
      <c r="B16" s="7" t="s">
        <v>40</v>
      </c>
      <c r="C16" s="7" t="s">
        <v>41</v>
      </c>
      <c r="D16" s="7" t="s">
        <v>42</v>
      </c>
      <c r="E16" s="7" t="s">
        <v>44</v>
      </c>
      <c r="F16" s="7" t="s">
        <v>45</v>
      </c>
      <c r="G16" s="7" t="s">
        <v>46</v>
      </c>
      <c r="H16" s="7" t="s">
        <v>47</v>
      </c>
    </row>
    <row r="17">
      <c r="A17" s="11" t="s">
        <v>23</v>
      </c>
      <c r="B17" s="17">
        <v>3000.0</v>
      </c>
      <c r="C17" s="17">
        <v>7000.0</v>
      </c>
      <c r="D17" s="17">
        <v>10000.0</v>
      </c>
      <c r="E17" s="18">
        <v>0.01</v>
      </c>
      <c r="F17" s="18">
        <v>0.03</v>
      </c>
      <c r="G17" s="18">
        <v>0.04</v>
      </c>
      <c r="H17" s="18">
        <v>0.06</v>
      </c>
    </row>
    <row r="18">
      <c r="A18" s="11" t="s">
        <v>29</v>
      </c>
      <c r="B18" s="17">
        <v>4000.0</v>
      </c>
      <c r="C18" s="17">
        <v>5800.0</v>
      </c>
      <c r="D18" s="17">
        <v>8000.0</v>
      </c>
      <c r="E18" s="18">
        <v>0.01</v>
      </c>
      <c r="F18" s="18">
        <v>0.02</v>
      </c>
      <c r="G18" s="18">
        <v>0.03</v>
      </c>
      <c r="H18" s="18">
        <v>0.05</v>
      </c>
    </row>
    <row r="19">
      <c r="A19" s="11" t="s">
        <v>32</v>
      </c>
      <c r="B19" s="17">
        <v>4500.0</v>
      </c>
      <c r="C19" s="17">
        <v>8500.0</v>
      </c>
      <c r="D19" s="17">
        <v>10000.0</v>
      </c>
      <c r="E19" s="18">
        <v>0.01</v>
      </c>
      <c r="F19" s="18">
        <v>0.03</v>
      </c>
      <c r="G19" s="18">
        <v>0.04</v>
      </c>
      <c r="H19" s="18">
        <v>0.06</v>
      </c>
    </row>
    <row r="20">
      <c r="A20" s="11" t="s">
        <v>33</v>
      </c>
      <c r="B20" s="17">
        <v>5000.0</v>
      </c>
      <c r="C20" s="17">
        <v>8500.0</v>
      </c>
      <c r="D20" s="17">
        <v>15000.0</v>
      </c>
      <c r="E20" s="18">
        <v>0.01</v>
      </c>
      <c r="F20" s="18">
        <v>0.02</v>
      </c>
      <c r="G20" s="18">
        <v>0.04</v>
      </c>
      <c r="H20" s="18">
        <v>0.06</v>
      </c>
    </row>
    <row r="21" ht="15.75" customHeight="1">
      <c r="A21" s="11" t="s">
        <v>34</v>
      </c>
      <c r="B21" s="17">
        <v>12000.0</v>
      </c>
      <c r="C21" s="17">
        <v>16000.0</v>
      </c>
      <c r="D21" s="17">
        <v>20000.0</v>
      </c>
      <c r="E21" s="18">
        <v>0.01</v>
      </c>
      <c r="F21" s="18">
        <v>0.02</v>
      </c>
      <c r="G21" s="18">
        <v>0.03</v>
      </c>
      <c r="H21" s="18">
        <v>0.04</v>
      </c>
    </row>
    <row r="22" ht="15.75" customHeight="1">
      <c r="A22" s="11" t="s">
        <v>35</v>
      </c>
      <c r="B22" s="17">
        <v>2000.0</v>
      </c>
      <c r="C22" s="17">
        <v>3500.0</v>
      </c>
      <c r="D22" s="17">
        <v>5000.0</v>
      </c>
      <c r="E22" s="18">
        <v>0.01</v>
      </c>
      <c r="F22" s="18">
        <v>0.02</v>
      </c>
      <c r="G22" s="18">
        <v>0.04</v>
      </c>
      <c r="H22" s="18">
        <v>0.06</v>
      </c>
    </row>
    <row r="23" ht="15.75" customHeight="1">
      <c r="A23" s="11" t="s">
        <v>36</v>
      </c>
      <c r="B23" s="17">
        <v>1000.0</v>
      </c>
      <c r="C23" s="17">
        <v>1900.0</v>
      </c>
      <c r="D23" s="17">
        <v>3000.0</v>
      </c>
      <c r="E23" s="18">
        <v>0.01</v>
      </c>
      <c r="F23" s="18">
        <v>0.02</v>
      </c>
      <c r="G23" s="18">
        <v>0.03</v>
      </c>
      <c r="H23" s="18">
        <v>0.06</v>
      </c>
    </row>
    <row r="24" ht="15.75" customHeight="1"/>
    <row r="25" ht="15.75" customHeight="1">
      <c r="A25" s="5" t="s">
        <v>51</v>
      </c>
      <c r="B25" s="2"/>
      <c r="C25" s="3"/>
    </row>
    <row r="26" ht="15.75" customHeight="1">
      <c r="A26" s="7" t="s">
        <v>52</v>
      </c>
      <c r="B26" s="7" t="s">
        <v>53</v>
      </c>
    </row>
    <row r="27" ht="15.75" customHeight="1">
      <c r="A27" s="20">
        <v>0.0</v>
      </c>
      <c r="B27" s="21">
        <v>0.0</v>
      </c>
    </row>
    <row r="28" ht="15.75" customHeight="1">
      <c r="A28" s="20">
        <v>0.7</v>
      </c>
      <c r="B28" s="21">
        <v>20.0</v>
      </c>
    </row>
    <row r="29" ht="15.75" customHeight="1">
      <c r="A29" s="20">
        <v>0.8</v>
      </c>
      <c r="B29" s="21">
        <v>28.0</v>
      </c>
    </row>
    <row r="30" ht="15.75" customHeight="1">
      <c r="A30" s="20">
        <v>0.9</v>
      </c>
      <c r="B30" s="21">
        <v>34.0</v>
      </c>
    </row>
    <row r="31" ht="15.75" customHeight="1">
      <c r="A31" s="20">
        <v>1.0</v>
      </c>
      <c r="B31" s="21">
        <v>38.0</v>
      </c>
    </row>
    <row r="32" ht="15.75" customHeight="1">
      <c r="A32" s="20">
        <v>1.1</v>
      </c>
      <c r="B32" s="21">
        <v>40.0</v>
      </c>
    </row>
    <row r="33" ht="15.75" customHeight="1"/>
    <row r="34" ht="15.75" customHeight="1">
      <c r="A34" s="5" t="s">
        <v>55</v>
      </c>
      <c r="B34" s="2"/>
      <c r="C34" s="3"/>
    </row>
    <row r="35" ht="15.75" customHeight="1">
      <c r="A35" s="7" t="s">
        <v>52</v>
      </c>
      <c r="B35" s="7" t="s">
        <v>53</v>
      </c>
    </row>
    <row r="36" ht="15.75" customHeight="1">
      <c r="A36" s="20">
        <v>0.0</v>
      </c>
      <c r="B36" s="21">
        <v>0.0</v>
      </c>
    </row>
    <row r="37" ht="15.75" customHeight="1">
      <c r="A37" s="20">
        <v>0.8</v>
      </c>
      <c r="B37" s="21">
        <v>15.0</v>
      </c>
    </row>
    <row r="38" ht="15.75" customHeight="1">
      <c r="A38" s="20">
        <v>0.9</v>
      </c>
      <c r="B38" s="21">
        <v>22.0</v>
      </c>
    </row>
    <row r="39" ht="15.75" customHeight="1">
      <c r="A39" s="20">
        <v>1.0</v>
      </c>
      <c r="B39" s="21">
        <v>30.0</v>
      </c>
    </row>
    <row r="40" ht="15.75" customHeight="1"/>
    <row r="41" ht="15.75" customHeight="1">
      <c r="A41" s="5" t="s">
        <v>57</v>
      </c>
      <c r="B41" s="2"/>
      <c r="C41" s="3"/>
    </row>
    <row r="42" ht="15.75" customHeight="1">
      <c r="A42" s="11" t="s">
        <v>59</v>
      </c>
      <c r="B42" s="20">
        <v>0.12</v>
      </c>
    </row>
    <row r="43" ht="15.75" customHeight="1">
      <c r="A43" s="11" t="s">
        <v>60</v>
      </c>
      <c r="B43" s="20">
        <v>0.25</v>
      </c>
    </row>
    <row r="44" ht="15.75" customHeight="1">
      <c r="A44" s="11" t="s">
        <v>61</v>
      </c>
      <c r="B44" s="21">
        <v>6.0</v>
      </c>
    </row>
    <row r="45" ht="15.75" customHeight="1">
      <c r="A45" s="11" t="s">
        <v>63</v>
      </c>
      <c r="B45" s="20">
        <v>0.3</v>
      </c>
    </row>
    <row r="46" ht="15.75" customHeight="1">
      <c r="A46" s="11" t="s">
        <v>64</v>
      </c>
      <c r="B46" s="21">
        <v>7.0</v>
      </c>
    </row>
    <row r="47" ht="15.75" customHeight="1">
      <c r="A47" s="11" t="s">
        <v>65</v>
      </c>
      <c r="B47" s="20">
        <v>0.28</v>
      </c>
    </row>
    <row r="48" ht="15.75" customHeight="1">
      <c r="A48" s="11" t="s">
        <v>66</v>
      </c>
      <c r="B48" s="21">
        <v>7.0</v>
      </c>
    </row>
    <row r="49" ht="15.75" customHeight="1"/>
    <row r="50" ht="15.75" customHeight="1">
      <c r="A50" s="5" t="s">
        <v>67</v>
      </c>
      <c r="B50" s="2"/>
      <c r="C50" s="3"/>
    </row>
    <row r="51" ht="15.75" customHeight="1">
      <c r="A51" s="7" t="s">
        <v>69</v>
      </c>
      <c r="B51" s="7" t="s">
        <v>70</v>
      </c>
      <c r="C51" s="7" t="s">
        <v>71</v>
      </c>
    </row>
    <row r="52" ht="15.75" customHeight="1">
      <c r="A52" s="21">
        <v>0.0</v>
      </c>
      <c r="B52" s="24" t="s">
        <v>73</v>
      </c>
      <c r="C52" s="25">
        <v>0.0</v>
      </c>
    </row>
    <row r="53" ht="15.75" customHeight="1">
      <c r="A53" s="21">
        <v>60.0</v>
      </c>
      <c r="B53" s="24" t="s">
        <v>74</v>
      </c>
      <c r="C53" s="25">
        <v>0.5</v>
      </c>
    </row>
    <row r="54" ht="15.75" customHeight="1">
      <c r="A54" s="21">
        <v>70.0</v>
      </c>
      <c r="B54" s="24" t="s">
        <v>76</v>
      </c>
      <c r="C54" s="25">
        <v>0.75</v>
      </c>
    </row>
    <row r="55" ht="15.75" customHeight="1">
      <c r="A55" s="21">
        <v>80.0</v>
      </c>
      <c r="B55" s="24" t="s">
        <v>77</v>
      </c>
      <c r="C55" s="25">
        <v>1.0</v>
      </c>
    </row>
    <row r="56" ht="15.75" customHeight="1">
      <c r="A56" s="21">
        <v>90.0</v>
      </c>
      <c r="B56" s="24" t="s">
        <v>78</v>
      </c>
      <c r="C56" s="25">
        <v>1.2</v>
      </c>
    </row>
    <row r="57" ht="15.75" customHeight="1">
      <c r="A57" s="21">
        <v>95.0</v>
      </c>
      <c r="B57" s="24" t="s">
        <v>80</v>
      </c>
      <c r="C57" s="25">
        <v>1.5</v>
      </c>
    </row>
    <row r="58" ht="15.75" customHeight="1"/>
    <row r="59" ht="15.75" customHeight="1">
      <c r="A59" s="5" t="s">
        <v>81</v>
      </c>
      <c r="B59" s="2"/>
      <c r="C59" s="3"/>
    </row>
    <row r="60" ht="15.75" customHeight="1">
      <c r="A60" s="11" t="s">
        <v>82</v>
      </c>
      <c r="B60" s="12">
        <v>0.0</v>
      </c>
    </row>
    <row r="61" ht="15.75" customHeight="1">
      <c r="A61" s="11" t="s">
        <v>84</v>
      </c>
      <c r="B61" s="12">
        <v>0.0</v>
      </c>
    </row>
    <row r="62" ht="15.75" customHeight="1">
      <c r="A62" s="11" t="s">
        <v>85</v>
      </c>
      <c r="B62" s="12">
        <v>152000.0</v>
      </c>
    </row>
    <row r="63" ht="15.75" customHeight="1">
      <c r="A63" s="13" t="s">
        <v>86</v>
      </c>
      <c r="B63" s="26">
        <f>IFERROR(B62/B61,0)</f>
        <v>0</v>
      </c>
    </row>
    <row r="64" ht="15.75" customHeight="1">
      <c r="A64" s="13" t="s">
        <v>88</v>
      </c>
      <c r="B64" s="27" t="str">
        <f>IF(B63&gt;=1,"SIM","NÃO")</f>
        <v>NÃO</v>
      </c>
    </row>
    <row r="65" ht="15.75" customHeight="1">
      <c r="A65" s="13" t="s">
        <v>89</v>
      </c>
      <c r="B65" s="28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3:H3"/>
    <mergeCell ref="A15:H15"/>
    <mergeCell ref="A25:C25"/>
    <mergeCell ref="A34:C34"/>
    <mergeCell ref="A41:C41"/>
    <mergeCell ref="A50:C50"/>
    <mergeCell ref="A59:C59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5.0"/>
    <col customWidth="1" min="3" max="26" width="8.71"/>
  </cols>
  <sheetData>
    <row r="1">
      <c r="A1" s="1" t="s">
        <v>4</v>
      </c>
      <c r="B1" s="3"/>
    </row>
    <row r="3">
      <c r="A3" s="8" t="s">
        <v>6</v>
      </c>
      <c r="B3" s="10" t="s">
        <v>8</v>
      </c>
    </row>
    <row r="4">
      <c r="A4" s="8" t="s">
        <v>10</v>
      </c>
      <c r="B4" s="10" t="s">
        <v>12</v>
      </c>
    </row>
    <row r="5">
      <c r="A5" s="8" t="s">
        <v>13</v>
      </c>
      <c r="B5" s="10" t="s">
        <v>15</v>
      </c>
    </row>
    <row r="6">
      <c r="A6" s="8" t="s">
        <v>17</v>
      </c>
      <c r="B6" s="10" t="s">
        <v>18</v>
      </c>
    </row>
    <row r="7">
      <c r="A7" s="8" t="s">
        <v>20</v>
      </c>
      <c r="B7" s="10" t="s">
        <v>22</v>
      </c>
    </row>
    <row r="8">
      <c r="A8" s="8" t="s">
        <v>24</v>
      </c>
      <c r="B8" s="10" t="s">
        <v>25</v>
      </c>
    </row>
    <row r="9">
      <c r="A9" s="8" t="s">
        <v>27</v>
      </c>
      <c r="B9" s="10" t="s">
        <v>28</v>
      </c>
    </row>
    <row r="10">
      <c r="A10" s="8" t="s">
        <v>30</v>
      </c>
      <c r="B10" s="10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2026-07-30T23:53:13Z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